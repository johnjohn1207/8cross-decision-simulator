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產銷平衡與精準叫料計算機" sheetId="1" state="visible" r:id="rId1"/>
    <sheet xmlns:r="http://schemas.openxmlformats.org/officeDocument/2006/relationships" name="正式比賽1-24月標準作戰計畫表" sheetId="2" state="visible" r:id="rId2"/>
    <sheet xmlns:r="http://schemas.openxmlformats.org/officeDocument/2006/relationships" name="參數與規則速查庫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微軟正黑體"/>
      <b val="1"/>
      <color rgb="001F4E78"/>
      <sz val="15"/>
    </font>
    <font>
      <name val="微軟正黑體"/>
      <i val="1"/>
      <color rgb="00595959"/>
      <sz val="10"/>
    </font>
    <font>
      <name val="微軟正黑體"/>
      <b val="1"/>
      <color rgb="001F4E78"/>
      <sz val="11"/>
    </font>
    <font>
      <name val="微軟正黑體"/>
      <b val="1"/>
      <color rgb="00FFFFFF"/>
      <sz val="11"/>
    </font>
    <font>
      <name val="微軟正黑體"/>
      <b val="1"/>
      <sz val="10"/>
    </font>
    <font>
      <name val="微軟正黑體"/>
      <b val="1"/>
      <color rgb="00002060"/>
      <sz val="10"/>
    </font>
    <font>
      <name val="微軟正黑體"/>
      <sz val="10"/>
    </font>
    <font>
      <name val="微軟正黑體"/>
      <b val="1"/>
      <color rgb="00002060"/>
      <sz val="11"/>
    </font>
    <font>
      <name val="微軟正黑體"/>
      <b val="1"/>
      <color rgb="001F4E78"/>
      <sz val="12"/>
    </font>
    <font>
      <name val="微軟正黑體"/>
      <b val="1"/>
      <color rgb="00C00000"/>
      <sz val="11"/>
    </font>
    <font>
      <name val="微軟正黑體"/>
      <b val="1"/>
      <sz val="11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E78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1" pivotButton="0" quotePrefix="0" xfId="0"/>
    <xf numFmtId="0" fontId="6" fillId="3" borderId="1" applyAlignment="1" pivotButton="0" quotePrefix="0" xfId="0">
      <alignment horizontal="right"/>
    </xf>
    <xf numFmtId="0" fontId="7" fillId="0" borderId="1" pivotButton="0" quotePrefix="0" xfId="0"/>
    <xf numFmtId="0" fontId="5" fillId="0" borderId="1" applyAlignment="1" pivotButton="0" quotePrefix="0" xfId="0">
      <alignment horizontal="right"/>
    </xf>
    <xf numFmtId="0" fontId="2" fillId="0" borderId="1" pivotButton="0" quotePrefix="0" xfId="0"/>
    <xf numFmtId="0" fontId="3" fillId="4" borderId="1" applyAlignment="1" pivotButton="0" quotePrefix="0" xfId="0">
      <alignment horizontal="right"/>
    </xf>
    <xf numFmtId="0" fontId="4" fillId="5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/>
    </xf>
    <xf numFmtId="0" fontId="8" fillId="6" borderId="1" applyAlignment="1" pivotButton="0" quotePrefix="0" xfId="0">
      <alignment horizontal="right"/>
    </xf>
    <xf numFmtId="0" fontId="5" fillId="0" borderId="2" pivotButton="0" quotePrefix="0" xfId="0"/>
    <xf numFmtId="0" fontId="5" fillId="0" borderId="2" applyAlignment="1" pivotButton="0" quotePrefix="0" xfId="0">
      <alignment horizontal="right"/>
    </xf>
    <xf numFmtId="0" fontId="7" fillId="0" borderId="2" applyAlignment="1" pivotButton="0" quotePrefix="0" xfId="0">
      <alignment horizontal="center"/>
    </xf>
    <xf numFmtId="0" fontId="6" fillId="0" borderId="2" applyAlignment="1" pivotButton="0" quotePrefix="0" xfId="0">
      <alignment horizontal="right"/>
    </xf>
    <xf numFmtId="0" fontId="8" fillId="6" borderId="2" applyAlignment="1" pivotButton="0" quotePrefix="0" xfId="0">
      <alignment horizontal="right"/>
    </xf>
    <xf numFmtId="0" fontId="3" fillId="4" borderId="2" applyAlignment="1" pivotButton="0" quotePrefix="0" xfId="0">
      <alignment horizontal="right"/>
    </xf>
    <xf numFmtId="0" fontId="5" fillId="7" borderId="1" applyAlignment="1" pivotButton="0" quotePrefix="0" xfId="0">
      <alignment horizontal="right"/>
    </xf>
    <xf numFmtId="0" fontId="5" fillId="4" borderId="2" applyAlignment="1" pivotButton="0" quotePrefix="0" xfId="0">
      <alignment horizontal="right"/>
    </xf>
    <xf numFmtId="0" fontId="9" fillId="4" borderId="1" applyAlignment="1" pivotButton="0" quotePrefix="0" xfId="0">
      <alignment horizontal="right"/>
    </xf>
    <xf numFmtId="0" fontId="0" fillId="0" borderId="1" pivotButton="0" quotePrefix="0" xfId="0"/>
    <xf numFmtId="0" fontId="10" fillId="6" borderId="1" applyAlignment="1" pivotButton="0" quotePrefix="0" xfId="0">
      <alignment horizontal="center"/>
    </xf>
    <xf numFmtId="0" fontId="8" fillId="0" borderId="1" pivotButton="0" quotePrefix="0" xfId="0"/>
    <xf numFmtId="0" fontId="8" fillId="7" borderId="1" applyAlignment="1" pivotButton="0" quotePrefix="0" xfId="0">
      <alignment horizontal="right"/>
    </xf>
    <xf numFmtId="0" fontId="11" fillId="0" borderId="1" pivotButton="0" quotePrefix="0" xfId="0"/>
    <xf numFmtId="164" fontId="5" fillId="0" borderId="1" applyAlignment="1" pivotButton="0" quotePrefix="0" xfId="0">
      <alignment horizontal="right"/>
    </xf>
    <xf numFmtId="0" fontId="4" fillId="5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right"/>
    </xf>
    <xf numFmtId="3" fontId="7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15" customWidth="1" min="3" max="3"/>
    <col width="40" customWidth="1" min="4" max="4"/>
    <col width="24" customWidth="1" min="5" max="5"/>
    <col width="18" customWidth="1" min="6" max="6"/>
    <col width="28" customWidth="1" min="7" max="7"/>
  </cols>
  <sheetData>
    <row r="1">
      <c r="A1" s="1" t="inlineStr">
        <is>
          <t>8十決策系統 - 正式比賽雙產品(A+B)產銷平衡、人力配置與精準叫料決策模型</t>
        </is>
      </c>
    </row>
    <row r="2">
      <c r="A2" s="2" t="inlineStr">
        <is>
          <t>※ 使用說明：黃色底色儲存格為「決策輸入欄」（可自由調整產線、作業員人數與現有庫存）；其餘儲存格內建公式自動換算 A/B 雙產品產能、全公司銷售力瓶頸與防呆叫料量，絕不多買或少買。</t>
        </is>
      </c>
    </row>
    <row r="4">
      <c r="A4" s="3" t="inlineStr">
        <is>
          <t>【模組一】Product-A 生產線與作業員產能試算</t>
        </is>
      </c>
    </row>
    <row r="5">
      <c r="A5" s="4" t="inlineStr">
        <is>
          <t>項目名稱</t>
        </is>
      </c>
      <c r="B5" s="4" t="inlineStr">
        <is>
          <t>決策輸入 / 參數</t>
        </is>
      </c>
      <c r="C5" s="4" t="inlineStr">
        <is>
          <t>單位</t>
        </is>
      </c>
      <c r="D5" s="4" t="inlineStr">
        <is>
          <t>計算公式 / 規則基準</t>
        </is>
      </c>
      <c r="E5" s="4" t="inlineStr">
        <is>
          <t>產能 / 金額產出</t>
        </is>
      </c>
      <c r="F5" s="4" t="inlineStr">
        <is>
          <t>單位</t>
        </is>
      </c>
      <c r="G5" s="4" t="inlineStr">
        <is>
          <t>備註說明</t>
        </is>
      </c>
    </row>
    <row r="6">
      <c r="A6" s="5" t="inlineStr">
        <is>
          <t>現有 Product-A 生產線數</t>
        </is>
      </c>
      <c r="B6" s="6" t="n">
        <v>1</v>
      </c>
      <c r="C6" s="7" t="inlineStr">
        <is>
          <t>條</t>
        </is>
      </c>
      <c r="D6" s="7" t="inlineStr">
        <is>
          <t>單線滿載 10 人，單線硬體產能上限 500 台</t>
        </is>
      </c>
      <c r="E6" s="8">
        <f>B6*500</f>
        <v/>
      </c>
      <c r="F6" s="7" t="inlineStr">
        <is>
          <t>台/月</t>
        </is>
      </c>
      <c r="G6" s="9" t="inlineStr">
        <is>
          <t>產線硬體理論產能極限</t>
        </is>
      </c>
    </row>
    <row r="7">
      <c r="A7" s="5" t="inlineStr">
        <is>
          <t>配置生產部門：第 1 類作業員</t>
        </is>
      </c>
      <c r="B7" s="6" t="n">
        <v>0</v>
      </c>
      <c r="C7" s="7" t="inlineStr">
        <is>
          <t>人</t>
        </is>
      </c>
      <c r="D7" s="7" t="inlineStr">
        <is>
          <t>能力值 0.50 (基本產能 25 台/人)</t>
        </is>
      </c>
      <c r="E7" s="8">
        <f>B7*25</f>
        <v/>
      </c>
      <c r="F7" s="7" t="inlineStr">
        <is>
          <t>台/月</t>
        </is>
      </c>
      <c r="G7" s="9" t="inlineStr">
        <is>
          <t>月薪 28,000 元/人</t>
        </is>
      </c>
    </row>
    <row r="8">
      <c r="A8" s="5" t="inlineStr">
        <is>
          <t>配置生產部門：第 2 類作業員</t>
        </is>
      </c>
      <c r="B8" s="6" t="n">
        <v>10</v>
      </c>
      <c r="C8" s="7" t="inlineStr">
        <is>
          <t>人</t>
        </is>
      </c>
      <c r="D8" s="7" t="inlineStr">
        <is>
          <t>能力值 0.80 (受訓提升後 40 台/人)</t>
        </is>
      </c>
      <c r="E8" s="8">
        <f>B8*40</f>
        <v/>
      </c>
      <c r="F8" s="7" t="inlineStr">
        <is>
          <t>台/月</t>
        </is>
      </c>
      <c r="G8" s="9" t="inlineStr">
        <is>
          <t>月薪 35,000 元/人 (主力)</t>
        </is>
      </c>
    </row>
    <row r="9">
      <c r="A9" s="5" t="inlineStr">
        <is>
          <t>配置生產部門：第 3 類作業員</t>
        </is>
      </c>
      <c r="B9" s="6" t="n">
        <v>0</v>
      </c>
      <c r="C9" s="7" t="inlineStr">
        <is>
          <t>人</t>
        </is>
      </c>
      <c r="D9" s="7" t="inlineStr">
        <is>
          <t>能力值 0.85 (受訓提升後 42.5 台/人)</t>
        </is>
      </c>
      <c r="E9" s="8">
        <f>B9*42.5</f>
        <v/>
      </c>
      <c r="F9" s="7" t="inlineStr">
        <is>
          <t>台/月</t>
        </is>
      </c>
      <c r="G9" s="9" t="inlineStr">
        <is>
          <t>月薪 52,500 元/人</t>
        </is>
      </c>
    </row>
    <row r="10">
      <c r="A10" s="5" t="inlineStr">
        <is>
          <t>Product-A 作業員配置總人數</t>
        </is>
      </c>
      <c r="B10" s="8">
        <f>SUM(B7:B9)</f>
        <v/>
      </c>
      <c r="C10" s="7" t="inlineStr">
        <is>
          <t>人</t>
        </is>
      </c>
      <c r="D10" s="7" t="inlineStr">
        <is>
          <t>規則基準：產線數 * 10 人滿載</t>
        </is>
      </c>
      <c r="E10" s="8">
        <f>IF(B10&lt;=B6*10, "【合規】未超編", "【超編警告】超過產線人數上限")</f>
        <v/>
      </c>
      <c r="F10" s="7" t="inlineStr">
        <is>
          <t>狀態</t>
        </is>
      </c>
      <c r="G10" s="9" t="inlineStr">
        <is>
          <t>未指派作業員將列入閒置成本</t>
        </is>
      </c>
    </row>
    <row r="11">
      <c r="A11" s="5" t="inlineStr">
        <is>
          <t>★ Product-A 每月有效產能</t>
        </is>
      </c>
      <c r="B11" s="8">
        <f>SUM(E7:E9)</f>
        <v/>
      </c>
      <c r="C11" s="7" t="inlineStr">
        <is>
          <t>台/月</t>
        </is>
      </c>
      <c r="D11" s="7" t="inlineStr">
        <is>
          <t>取硬體產能與人工產能之較小值</t>
        </is>
      </c>
      <c r="E11" s="10">
        <f>MIN(E6, B11)</f>
        <v/>
      </c>
      <c r="F11" s="7" t="inlineStr">
        <is>
          <t>台/月</t>
        </is>
      </c>
      <c r="G11" s="9" t="inlineStr">
        <is>
          <t>★ 最終有效產能上限</t>
        </is>
      </c>
    </row>
    <row r="12">
      <c r="A12" s="5" t="inlineStr">
        <is>
          <t>Product-A 生產線每月固定薪資</t>
        </is>
      </c>
      <c r="B12" s="8">
        <f>B7*28000+B8*35000+B9*52500</f>
        <v/>
      </c>
      <c r="C12" s="7" t="inlineStr">
        <is>
          <t>元/月</t>
        </is>
      </c>
      <c r="D12" s="7" t="inlineStr">
        <is>
          <t>各類作業員人數 * 表定底薪</t>
        </is>
      </c>
      <c r="E12" s="8">
        <f>B12/MAX(1, E11)</f>
        <v/>
      </c>
      <c r="F12" s="7" t="inlineStr">
        <is>
          <t>元/台</t>
        </is>
      </c>
      <c r="G12" s="9" t="inlineStr">
        <is>
          <t>每台手機之直接人工成本分攤</t>
        </is>
      </c>
    </row>
    <row r="14">
      <c r="A14" s="3" t="inlineStr">
        <is>
          <t>【模組二】Product-B 生產線與作業員產能試算（第二年主力爆發產品）</t>
        </is>
      </c>
    </row>
    <row r="15">
      <c r="A15" s="4" t="inlineStr">
        <is>
          <t>項目名稱</t>
        </is>
      </c>
      <c r="B15" s="4" t="inlineStr">
        <is>
          <t>決策輸入 / 參數</t>
        </is>
      </c>
      <c r="C15" s="4" t="inlineStr">
        <is>
          <t>單位</t>
        </is>
      </c>
      <c r="D15" s="4" t="inlineStr">
        <is>
          <t>計算公式 / 規則基準</t>
        </is>
      </c>
      <c r="E15" s="4" t="inlineStr">
        <is>
          <t>產能 / 金額產出</t>
        </is>
      </c>
      <c r="F15" s="4" t="inlineStr">
        <is>
          <t>單位</t>
        </is>
      </c>
      <c r="G15" s="4" t="inlineStr">
        <is>
          <t>備註說明</t>
        </is>
      </c>
    </row>
    <row r="16">
      <c r="A16" s="5" t="inlineStr">
        <is>
          <t>現有 Product-B 生產線數</t>
        </is>
      </c>
      <c r="B16" s="6" t="n">
        <v>1</v>
      </c>
      <c r="C16" s="7" t="inlineStr">
        <is>
          <t>條</t>
        </is>
      </c>
      <c r="D16" s="7" t="inlineStr">
        <is>
          <t>單線滿載 10 人，單線硬體產能上限 350 台</t>
        </is>
      </c>
      <c r="E16" s="8">
        <f>B16*350</f>
        <v/>
      </c>
      <c r="F16" s="7" t="inlineStr">
        <is>
          <t>台/月</t>
        </is>
      </c>
      <c r="G16" s="9" t="inlineStr">
        <is>
          <t>產線擴建成本80萬/條，維護5萬/月</t>
        </is>
      </c>
    </row>
    <row r="17">
      <c r="A17" s="5" t="inlineStr">
        <is>
          <t>配置生產部門：第 1 類作業員</t>
        </is>
      </c>
      <c r="B17" s="6" t="n">
        <v>0</v>
      </c>
      <c r="C17" s="7" t="inlineStr">
        <is>
          <t>人</t>
        </is>
      </c>
      <c r="D17" s="7" t="inlineStr">
        <is>
          <t>能力值 0.50 (基本產能 25 台/人)</t>
        </is>
      </c>
      <c r="E17" s="8">
        <f>B17*25</f>
        <v/>
      </c>
      <c r="F17" s="7" t="inlineStr">
        <is>
          <t>台/月</t>
        </is>
      </c>
      <c r="G17" s="9" t="inlineStr">
        <is>
          <t>月薪 28,000 元/人</t>
        </is>
      </c>
    </row>
    <row r="18">
      <c r="A18" s="5" t="inlineStr">
        <is>
          <t>配置生產部門：第 2 類作業員</t>
        </is>
      </c>
      <c r="B18" s="6" t="n">
        <v>5</v>
      </c>
      <c r="C18" s="7" t="inlineStr">
        <is>
          <t>人</t>
        </is>
      </c>
      <c r="D18" s="7" t="inlineStr">
        <is>
          <t>能力值 0.70 (受訓提升後 35 台/人)</t>
        </is>
      </c>
      <c r="E18" s="8">
        <f>B18*35</f>
        <v/>
      </c>
      <c r="F18" s="7" t="inlineStr">
        <is>
          <t>台/月</t>
        </is>
      </c>
      <c r="G18" s="9" t="inlineStr">
        <is>
          <t>月薪 35,000 元/人</t>
        </is>
      </c>
    </row>
    <row r="19">
      <c r="A19" s="5" t="inlineStr">
        <is>
          <t>配置生產部門：第 3 類作業員</t>
        </is>
      </c>
      <c r="B19" s="6" t="n">
        <v>5</v>
      </c>
      <c r="C19" s="7" t="inlineStr">
        <is>
          <t>人</t>
        </is>
      </c>
      <c r="D19" s="7" t="inlineStr">
        <is>
          <t>能力值 0.70 (受訓提升後 35 台/人)</t>
        </is>
      </c>
      <c r="E19" s="8">
        <f>B19*35</f>
        <v/>
      </c>
      <c r="F19" s="7" t="inlineStr">
        <is>
          <t>台/月</t>
        </is>
      </c>
      <c r="G19" s="9" t="inlineStr">
        <is>
          <t>月薪 52,500 元/人 (高技術產品必備)</t>
        </is>
      </c>
    </row>
    <row r="20">
      <c r="A20" s="5" t="inlineStr">
        <is>
          <t>Product-B 作業員配置總人數</t>
        </is>
      </c>
      <c r="B20" s="8">
        <f>SUM(B17:B19)</f>
        <v/>
      </c>
      <c r="C20" s="7" t="inlineStr">
        <is>
          <t>人</t>
        </is>
      </c>
      <c r="D20" s="7" t="inlineStr">
        <is>
          <t>規則基準：產線數 * 10 人滿載</t>
        </is>
      </c>
      <c r="E20" s="8">
        <f>IF(B20&lt;=B16*10, "【合規】未超編", "【超編警告】超過產線人數上限")</f>
        <v/>
      </c>
      <c r="F20" s="7" t="inlineStr">
        <is>
          <t>狀態</t>
        </is>
      </c>
      <c r="G20" s="9" t="inlineStr">
        <is>
          <t>未指派作業員將列入閒置成本</t>
        </is>
      </c>
    </row>
    <row r="21">
      <c r="A21" s="5" t="inlineStr">
        <is>
          <t>★ Product-B 每月有效產能</t>
        </is>
      </c>
      <c r="B21" s="8">
        <f>SUM(E17:E19)</f>
        <v/>
      </c>
      <c r="C21" s="7" t="inlineStr">
        <is>
          <t>台/月</t>
        </is>
      </c>
      <c r="D21" s="7" t="inlineStr">
        <is>
          <t>取硬體產能與人工產能之較小值</t>
        </is>
      </c>
      <c r="E21" s="10">
        <f>MIN(E16, B21)</f>
        <v/>
      </c>
      <c r="F21" s="7" t="inlineStr">
        <is>
          <t>台/月</t>
        </is>
      </c>
      <c r="G21" s="9" t="inlineStr">
        <is>
          <t>★ 最終有效產能上限 (單線350台)</t>
        </is>
      </c>
    </row>
    <row r="22">
      <c r="A22" s="5" t="inlineStr">
        <is>
          <t>Product-B 生產線每月固定薪資</t>
        </is>
      </c>
      <c r="B22" s="8">
        <f>B17*28000+B18*35000+B19*52500</f>
        <v/>
      </c>
      <c r="C22" s="7" t="inlineStr">
        <is>
          <t>元/月</t>
        </is>
      </c>
      <c r="D22" s="7" t="inlineStr">
        <is>
          <t>各類作業員人數 * 表定底薪</t>
        </is>
      </c>
      <c r="E22" s="8">
        <f>B22/MAX(1, E21)</f>
        <v/>
      </c>
      <c r="F22" s="7" t="inlineStr">
        <is>
          <t>元/台</t>
        </is>
      </c>
      <c r="G22" s="9" t="inlineStr">
        <is>
          <t>每台手機之直接人工成本分攤</t>
        </is>
      </c>
    </row>
    <row r="24">
      <c r="A24" s="3" t="inlineStr">
        <is>
          <t>【模組三】雙產品原料精準叫料與庫存防呆試算（本月下單，次月到貨投產，絕不多買或少買）</t>
        </is>
      </c>
    </row>
    <row r="25">
      <c r="A25" s="11" t="inlineStr">
        <is>
          <t>原料項目</t>
        </is>
      </c>
      <c r="B25" s="11" t="inlineStr">
        <is>
          <t>下月目標生產台數</t>
        </is>
      </c>
      <c r="C25" s="11" t="inlineStr">
        <is>
          <t>BOM單機耗用</t>
        </is>
      </c>
      <c r="D25" s="11" t="inlineStr">
        <is>
          <t>次月原料總需求</t>
        </is>
      </c>
      <c r="E25" s="11" t="inlineStr">
        <is>
          <t>目前現有庫存 (扣除庫存)</t>
        </is>
      </c>
      <c r="F25" s="11" t="inlineStr">
        <is>
          <t>★ 本月精準叫料量 (絕不多買)</t>
        </is>
      </c>
      <c r="G25" s="11" t="inlineStr">
        <is>
          <t>採購預估總金額 (NTD)</t>
        </is>
      </c>
    </row>
    <row r="26">
      <c r="A26" s="5" t="inlineStr">
        <is>
          <t>Product-A 低品質原料 (A01)</t>
        </is>
      </c>
      <c r="B26" s="8">
        <f>E11</f>
        <v/>
      </c>
      <c r="C26" s="12" t="n">
        <v>1</v>
      </c>
      <c r="D26" s="8">
        <f>B26*C26</f>
        <v/>
      </c>
      <c r="E26" s="6" t="n">
        <v>0</v>
      </c>
      <c r="F26" s="13">
        <f>MAX(0, D26-E26)</f>
        <v/>
      </c>
      <c r="G26" s="8">
        <f>F26*1002</f>
        <v/>
      </c>
    </row>
    <row r="27">
      <c r="A27" s="5" t="inlineStr">
        <is>
          <t>Product-A 高品質原料 (A02)</t>
        </is>
      </c>
      <c r="B27" s="8">
        <f>E11</f>
        <v/>
      </c>
      <c r="C27" s="12" t="n">
        <v>1</v>
      </c>
      <c r="D27" s="8">
        <f>B27*C27</f>
        <v/>
      </c>
      <c r="E27" s="6" t="n">
        <v>0</v>
      </c>
      <c r="F27" s="13">
        <f>MAX(0, D27-E27)</f>
        <v/>
      </c>
      <c r="G27" s="8">
        <f>F27*1203</f>
        <v/>
      </c>
    </row>
    <row r="28">
      <c r="A28" s="5" t="inlineStr">
        <is>
          <t>Product-B 低品質原料 (B01)</t>
        </is>
      </c>
      <c r="B28" s="8">
        <f>E21</f>
        <v/>
      </c>
      <c r="C28" s="12" t="n">
        <v>1</v>
      </c>
      <c r="D28" s="8">
        <f>B28*C28</f>
        <v/>
      </c>
      <c r="E28" s="6" t="n">
        <v>0</v>
      </c>
      <c r="F28" s="13">
        <f>MAX(0, D28-E28)</f>
        <v/>
      </c>
      <c r="G28" s="8">
        <f>F28*601</f>
        <v/>
      </c>
    </row>
    <row r="29">
      <c r="A29" s="5" t="inlineStr">
        <is>
          <t>Product-B 高品質原料 (B02)</t>
        </is>
      </c>
      <c r="B29" s="8">
        <f>E21</f>
        <v/>
      </c>
      <c r="C29" s="12" t="n">
        <v>2</v>
      </c>
      <c r="D29" s="8">
        <f>B29*C29</f>
        <v/>
      </c>
      <c r="E29" s="6" t="n">
        <v>0</v>
      </c>
      <c r="F29" s="13">
        <f>MAX(0, D29-E29)</f>
        <v/>
      </c>
      <c r="G29" s="8">
        <f>F29*752</f>
        <v/>
      </c>
    </row>
    <row r="30">
      <c r="A30" s="14" t="inlineStr">
        <is>
          <t>雙產品原料採購合計 / 庫存防呆檢核</t>
        </is>
      </c>
      <c r="B30" s="15" t="inlineStr">
        <is>
          <t>-</t>
        </is>
      </c>
      <c r="C30" s="16" t="inlineStr">
        <is>
          <t>-</t>
        </is>
      </c>
      <c r="D30" s="15">
        <f>SUM(D26:D29)</f>
        <v/>
      </c>
      <c r="E30" s="17">
        <f>SUM(E26:E29)</f>
        <v/>
      </c>
      <c r="F30" s="18">
        <f>SUM(F26:F29)</f>
        <v/>
      </c>
      <c r="G30" s="19">
        <f>SUM(G26:G29)</f>
        <v/>
      </c>
    </row>
    <row r="31">
      <c r="A31" s="2" t="inlineStr">
        <is>
          <t>※ 叫料防呆公式說明：「=MAX(0, 次月需求 - 現有庫存)」，有庫存自動扣減，無庫存精準買足。Product-B 單機需 3 單位原料(1個B01+2個B02)，絕不積壓資金或造成斷料停工！</t>
        </is>
      </c>
    </row>
    <row r="33">
      <c r="A33" s="3" t="inlineStr">
        <is>
          <t>【模組四】四大後勤與市場部門人力配置與全公司銷售力短板瓶頸檢核（木桶理論 TOC）</t>
        </is>
      </c>
    </row>
    <row r="34">
      <c r="A34" s="4" t="inlineStr">
        <is>
          <t>部門名稱</t>
        </is>
      </c>
      <c r="B34" s="4" t="inlineStr">
        <is>
          <t>第 1 類人數 (黃色輸入)</t>
        </is>
      </c>
      <c r="C34" s="4" t="inlineStr">
        <is>
          <t>第 2 類人數 (黃色輸入)</t>
        </is>
      </c>
      <c r="D34" s="4" t="inlineStr">
        <is>
          <t>第 3 類人數 (黃色輸入)</t>
        </is>
      </c>
      <c r="E34" s="4" t="inlineStr">
        <is>
          <t>部門總人數</t>
        </is>
      </c>
      <c r="F34" s="4" t="inlineStr">
        <is>
          <t>★ 部門總銷售力 (K)</t>
        </is>
      </c>
      <c r="G34" s="4" t="inlineStr">
        <is>
          <t>部門每月薪資 (NTD)</t>
        </is>
      </c>
    </row>
    <row r="35">
      <c r="A35" s="5" t="inlineStr">
        <is>
          <t>行銷部門 (Marketing)</t>
        </is>
      </c>
      <c r="B35" s="6" t="n">
        <v>0</v>
      </c>
      <c r="C35" s="6" t="n">
        <v>8</v>
      </c>
      <c r="D35" s="6" t="n">
        <v>2</v>
      </c>
      <c r="E35" s="8">
        <f>SUM(B35:D35)</f>
        <v/>
      </c>
      <c r="F35" s="20">
        <f>B35*840+C35*1008+D35*1176</f>
        <v/>
      </c>
      <c r="G35" s="8">
        <f>B35*28000+C35*35000+D35*52500</f>
        <v/>
      </c>
    </row>
    <row r="36">
      <c r="A36" s="5" t="inlineStr">
        <is>
          <t>管理部門 (Management)</t>
        </is>
      </c>
      <c r="B36" s="6" t="n">
        <v>2</v>
      </c>
      <c r="C36" s="6" t="n">
        <v>4</v>
      </c>
      <c r="D36" s="6" t="n">
        <v>1</v>
      </c>
      <c r="E36" s="8">
        <f>SUM(B36:D36)</f>
        <v/>
      </c>
      <c r="F36" s="20">
        <f>B36*1260+C36*1512+D36*1764</f>
        <v/>
      </c>
      <c r="G36" s="8">
        <f>B36*28000+C36*35000+D36*52500</f>
        <v/>
      </c>
    </row>
    <row r="37">
      <c r="A37" s="5" t="inlineStr">
        <is>
          <t>財務部門 (Finance)</t>
        </is>
      </c>
      <c r="B37" s="6" t="n">
        <v>4</v>
      </c>
      <c r="C37" s="6" t="n">
        <v>2</v>
      </c>
      <c r="D37" s="6" t="n">
        <v>0</v>
      </c>
      <c r="E37" s="8">
        <f>SUM(B37:D37)</f>
        <v/>
      </c>
      <c r="F37" s="20">
        <f>B37*2100+C37*2520+D37*2940</f>
        <v/>
      </c>
      <c r="G37" s="8">
        <f>B37*30000+C37*37500+D37*56250</f>
        <v/>
      </c>
    </row>
    <row r="38">
      <c r="A38" s="5" t="inlineStr">
        <is>
          <t>技術部門 (Technology)</t>
        </is>
      </c>
      <c r="B38" s="6" t="n">
        <v>6</v>
      </c>
      <c r="C38" s="6" t="n">
        <v>4</v>
      </c>
      <c r="D38" s="6" t="n">
        <v>1</v>
      </c>
      <c r="E38" s="8">
        <f>SUM(B38:D38)</f>
        <v/>
      </c>
      <c r="F38" s="20">
        <f>B38*1008+C38*1210+D38*1411</f>
        <v/>
      </c>
      <c r="G38" s="8">
        <f>B38*32000+C38*40000+D38*60000</f>
        <v/>
      </c>
    </row>
    <row r="39">
      <c r="A39" s="14" t="inlineStr">
        <is>
          <t>四大部門合計</t>
        </is>
      </c>
      <c r="B39" s="15">
        <f>SUM(B35:B38)</f>
        <v/>
      </c>
      <c r="C39" s="15">
        <f>SUM(C35:C38)</f>
        <v/>
      </c>
      <c r="D39" s="15">
        <f>SUM(D35:D38)</f>
        <v/>
      </c>
      <c r="E39" s="15">
        <f>SUM(E35:E38)</f>
        <v/>
      </c>
      <c r="F39" s="15" t="inlineStr">
        <is>
          <t>最低瓶頸值見下方</t>
        </is>
      </c>
      <c r="G39" s="21">
        <f>SUM(G35:G38)</f>
        <v/>
      </c>
    </row>
    <row r="41">
      <c r="A41" s="3" t="inlineStr">
        <is>
          <t>【模組五】全公司雙產品產銷完全平衡判定與木桶短板警報</t>
        </is>
      </c>
    </row>
    <row r="42">
      <c r="A42" s="5" t="inlineStr">
        <is>
          <t>全公司有效銷售力 (木桶最低短板)</t>
        </is>
      </c>
      <c r="B42" s="22">
        <f>MIN(F35:F38)</f>
        <v/>
      </c>
      <c r="C42" s="23" t="inlineStr">
        <is>
          <t>K 銷售力</t>
        </is>
      </c>
      <c r="D42" s="23" t="inlineStr">
        <is>
          <t>公式取四部門之最小值：Min(行銷, 管理, 財務, 技術)</t>
        </is>
      </c>
      <c r="E42" s="23" t="n"/>
      <c r="F42" s="23" t="n"/>
      <c r="G42" s="23" t="n"/>
    </row>
    <row r="43">
      <c r="A43" s="5" t="inlineStr">
        <is>
          <t>當前全公司最嚴重之短板部門</t>
        </is>
      </c>
      <c r="B43" s="24">
        <f>IF(F35=B42,"行銷部門",IF(F36=B42,"管理部門",IF(F37=B42,"財務部門","技術部門")))</f>
        <v/>
      </c>
      <c r="C43" s="23" t="inlineStr">
        <is>
          <t>瓶頸部門</t>
        </is>
      </c>
      <c r="D43" s="23" t="inlineStr">
        <is>
          <t>該部門限制了全公司業績，若要擴產必須優先補強此部門！</t>
        </is>
      </c>
      <c r="E43" s="23" t="n"/>
      <c r="F43" s="23" t="n"/>
      <c r="G43" s="23" t="n"/>
    </row>
    <row r="44">
      <c r="A44" s="5" t="inlineStr">
        <is>
          <t>消化 Product-A 產能所需之銷售力</t>
        </is>
      </c>
      <c r="B44" s="8">
        <f>(E11*(0.4*260+0.6*300)*29.561)/1000</f>
        <v/>
      </c>
      <c r="C44" s="23" t="inlineStr">
        <is>
          <t>K 產值需求</t>
        </is>
      </c>
      <c r="D44" s="23" t="inlineStr">
        <is>
          <t>以 Product-A 有效產能與加權售價換算所需之銷售消化力</t>
        </is>
      </c>
      <c r="E44" s="23" t="n"/>
      <c r="F44" s="23" t="n"/>
      <c r="G44" s="23" t="n"/>
    </row>
    <row r="45">
      <c r="A45" s="5" t="inlineStr">
        <is>
          <t>消化 Product-B 產能所需之銷售力</t>
        </is>
      </c>
      <c r="B45" s="8">
        <f>(E21*(0.4*200+0.6*240)*29.561)/1000</f>
        <v/>
      </c>
      <c r="C45" s="23" t="inlineStr">
        <is>
          <t>K 產值需求</t>
        </is>
      </c>
      <c r="D45" s="23" t="inlineStr">
        <is>
          <t>以 Product-B 有效產能與加權售價換算所需之銷售消化力</t>
        </is>
      </c>
      <c r="E45" s="23" t="n"/>
      <c r="F45" s="23" t="n"/>
      <c r="G45" s="23" t="n"/>
    </row>
    <row r="46">
      <c r="A46" s="25" t="inlineStr">
        <is>
          <t>★ 雙產品合計所需總銷售力</t>
        </is>
      </c>
      <c r="B46" s="26">
        <f>B44+B45</f>
        <v/>
      </c>
      <c r="C46" s="23" t="inlineStr">
        <is>
          <t>K 總產值需求</t>
        </is>
      </c>
      <c r="D46" s="23" t="inlineStr">
        <is>
          <t>公式說明：Product-A 所需銷售力 + Product-B 所需銷售力</t>
        </is>
      </c>
      <c r="E46" s="23" t="n"/>
      <c r="F46" s="23" t="n"/>
      <c r="G46" s="23" t="n"/>
    </row>
    <row r="47">
      <c r="A47" s="25" t="inlineStr">
        <is>
          <t>★ 雙產品產銷平衡綜合診斷結果</t>
        </is>
      </c>
      <c r="B47" s="27">
        <f>IF(B42&gt;=B46, "【安全】銷售力充足，雙產品產能可100%完全消化完畢！", "【警告】銷售力低於產能需求，面臨庫存滯銷與閒置產能損失！")</f>
        <v/>
      </c>
      <c r="C47" s="23" t="n"/>
      <c r="D47" s="23" t="n"/>
      <c r="E47" s="23" t="n"/>
      <c r="F47" s="23" t="inlineStr">
        <is>
          <t>安全邊際</t>
        </is>
      </c>
      <c r="G47" s="8">
        <f>B42-B46</f>
        <v/>
      </c>
    </row>
    <row r="48">
      <c r="A48" s="25" t="inlineStr">
        <is>
          <t>★ 完整發揮有效銷售力所需賣出台數 (滿載銷量)</t>
        </is>
      </c>
      <c r="B48" s="13">
        <f>INT((B42*1000)/((0.4*260+0.6*300)*29.561))</f>
        <v/>
      </c>
      <c r="C48" s="23" t="inlineStr">
        <is>
          <t>台 / 月</t>
        </is>
      </c>
      <c r="D48" s="23" t="inlineStr">
        <is>
          <t>公式說明：全公司有效銷售力 (K)*1000 / 單台加權平均售價 (NTD)</t>
        </is>
      </c>
      <c r="E48" s="23" t="n"/>
      <c r="F48" s="23" t="n"/>
      <c r="G48" s="23" t="n"/>
    </row>
    <row r="49">
      <c r="A49" s="5" t="inlineStr">
        <is>
          <t>當前銷售力發揮率 (利用率 / 負荷率)</t>
        </is>
      </c>
      <c r="B49" s="28">
        <f>B46/MAX(1, B42)</f>
        <v/>
      </c>
      <c r="C49" s="23" t="inlineStr">
        <is>
          <t>發揮率</t>
        </is>
      </c>
      <c r="D49" s="23" t="inlineStr">
        <is>
          <t>公式說明：當前產能所需銷售力 / 全公司有效銷售力上限</t>
        </is>
      </c>
      <c r="E49" s="23" t="n"/>
      <c r="F49" s="23" t="n"/>
      <c r="G49" s="23" t="n"/>
    </row>
    <row r="50">
      <c r="A50" s="5" t="inlineStr">
        <is>
          <t>產能與銷售力落差 (閒置銷售配額 / 超產量)</t>
        </is>
      </c>
      <c r="B50" s="8">
        <f>B48-(E11+E21)</f>
        <v/>
      </c>
      <c r="C50" s="23" t="inlineStr">
        <is>
          <t>台 / 月</t>
        </is>
      </c>
      <c r="D50" s="23" t="inlineStr">
        <is>
          <t>正值代表銷售力未充分利用（有閒置配額），負值代表產能超出銷售力（面臨滯銷）</t>
        </is>
      </c>
      <c r="E50" s="23" t="n"/>
      <c r="F50" s="23" t="n"/>
      <c r="G50" s="23" t="n"/>
    </row>
    <row r="51">
      <c r="A51" s="25" t="inlineStr">
        <is>
          <t>★ 銷售力發揮狀態深度診斷</t>
        </is>
      </c>
      <c r="B51" s="27">
        <f>IF(B49&lt;0.95, "【銷售力未充分利用】尚餘 "&amp;TEXT(B50,"#,##0")&amp;" 台銷售力配額未發揮，建議擴產以最大化薪資效益！", IF(B49&lt;=1.0, "【完美平衡】產能恰好 100% 完整發揮銷售力上限！", "【銷售力短板瓶頸】超出 "&amp;TEXT(-B50,"#,##0")&amp;" 台無法售出，面臨滯銷，請優先補充短板部門！"))</f>
        <v/>
      </c>
      <c r="C51" s="23" t="n"/>
      <c r="D51" s="23" t="n"/>
      <c r="E51" s="23" t="n"/>
      <c r="F51" s="23" t="n"/>
      <c r="G51" s="23" t="n"/>
    </row>
  </sheetData>
  <mergeCells count="16">
    <mergeCell ref="B51:G51"/>
    <mergeCell ref="A14:G14"/>
    <mergeCell ref="D48:G48"/>
    <mergeCell ref="D45:G45"/>
    <mergeCell ref="A31:G31"/>
    <mergeCell ref="D50:G50"/>
    <mergeCell ref="D44:G44"/>
    <mergeCell ref="A4:G4"/>
    <mergeCell ref="A24:G24"/>
    <mergeCell ref="D42:G42"/>
    <mergeCell ref="B47:E47"/>
    <mergeCell ref="D43:G43"/>
    <mergeCell ref="D49:G49"/>
    <mergeCell ref="A41:G41"/>
    <mergeCell ref="A33:G33"/>
    <mergeCell ref="D46:G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6" customWidth="1" min="2" max="2"/>
    <col width="12" customWidth="1" min="3" max="3"/>
    <col width="12" customWidth="1" min="4" max="4"/>
    <col width="16" customWidth="1" min="5" max="5"/>
    <col width="15" customWidth="1" min="6" max="6"/>
    <col width="18" customWidth="1" min="7" max="7"/>
    <col width="18" customWidth="1" min="8" max="8"/>
    <col width="18" customWidth="1" min="9" max="9"/>
    <col width="18" customWidth="1" min="10" max="10"/>
    <col width="20" customWidth="1" min="11" max="11"/>
    <col width="16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38" customWidth="1" min="18" max="18"/>
    <col width="20" customWidth="1" min="19" max="19"/>
    <col width="18" customWidth="1" min="20" max="20"/>
    <col width="24" customWidth="1" min="22" max="22"/>
  </cols>
  <sheetData>
    <row r="1">
      <c r="A1" s="1" t="inlineStr">
        <is>
          <t>8十決策系統 - 正式比賽 1 至 24 個月雙產品(A+B)產銷平衡、人力招聘與叫料作戰計畫總表</t>
        </is>
      </c>
    </row>
    <row r="2">
      <c r="A2" s="2" t="inlineStr">
        <is>
          <t>※ 涵蓋兩年（24個月）完整週期：第 1 年 Product-A 極速擴產、第 7 月啟動 Product-B 研發、第 12 月擴建 Line B 與首批叫料、第 2 年雙產品產銷完全平衡、無任何閒置短板、現金流大爆發。</t>
        </is>
      </c>
    </row>
    <row r="4" ht="28" customHeight="1">
      <c r="A4" s="29" t="inlineStr">
        <is>
          <t>月份</t>
        </is>
      </c>
      <c r="B4" s="29" t="inlineStr">
        <is>
          <t>營運階段與關鍵決策動作</t>
        </is>
      </c>
      <c r="C4" s="29" t="inlineStr">
        <is>
          <t>產線A(條)</t>
        </is>
      </c>
      <c r="D4" s="29" t="inlineStr">
        <is>
          <t>產線B(條)</t>
        </is>
      </c>
      <c r="E4" s="29" t="inlineStr">
        <is>
          <t>生產作業員(人)</t>
        </is>
      </c>
      <c r="F4" s="29" t="inlineStr">
        <is>
          <t>雙產品產能(台)</t>
        </is>
      </c>
      <c r="G4" s="29" t="inlineStr">
        <is>
          <t>★ 叫料 A01 (單位)</t>
        </is>
      </c>
      <c r="H4" s="29" t="inlineStr">
        <is>
          <t>★ 叫料 A02 (單位)</t>
        </is>
      </c>
      <c r="I4" s="29" t="inlineStr">
        <is>
          <t>★ 叫料 B01 (單位)</t>
        </is>
      </c>
      <c r="J4" s="29" t="inlineStr">
        <is>
          <t>★ 叫料 B02 (單位)</t>
        </is>
      </c>
      <c r="K4" s="29" t="inlineStr">
        <is>
          <t>叫料採購總額 (NTD)</t>
        </is>
      </c>
      <c r="L4" s="29" t="inlineStr">
        <is>
          <t>當月投產總量 (台)</t>
        </is>
      </c>
      <c r="M4" s="29" t="inlineStr">
        <is>
          <t>行銷部門配置</t>
        </is>
      </c>
      <c r="N4" s="29" t="inlineStr">
        <is>
          <t>管理部門配置</t>
        </is>
      </c>
      <c r="O4" s="29" t="inlineStr">
        <is>
          <t>財務部門配置</t>
        </is>
      </c>
      <c r="P4" s="29" t="inlineStr">
        <is>
          <t>技術部門配置</t>
        </is>
      </c>
      <c r="Q4" s="29" t="inlineStr">
        <is>
          <t>全公司有效銷售力 (K)</t>
        </is>
      </c>
      <c r="R4" s="29" t="inlineStr">
        <is>
          <t>新興/已開發配比</t>
        </is>
      </c>
      <c r="S4" s="29" t="inlineStr">
        <is>
          <t>預估銷貨收入 (NTD)</t>
        </is>
      </c>
      <c r="T4" s="29" t="inlineStr">
        <is>
          <t>月總薪資支出 (NTD)</t>
        </is>
      </c>
      <c r="U4" s="29" t="inlineStr">
        <is>
          <t>重大支出、研發與借款 (NTD)</t>
        </is>
      </c>
      <c r="V4" s="29" t="inlineStr">
        <is>
          <t>預估期末現金餘額 (NTD)</t>
        </is>
      </c>
    </row>
    <row r="5" ht="28" customHeight="1">
      <c r="A5" s="30" t="n">
        <v>1</v>
      </c>
      <c r="B5" s="31" t="inlineStr">
        <is>
          <t>建廠房1間(100萬)、建庫房1間(100萬)、啟動Product-A加速研發(150萬)、供應商選條件6、通路商選條件2</t>
        </is>
      </c>
      <c r="C5" s="30" t="n">
        <v>0</v>
      </c>
      <c r="D5" s="30" t="n">
        <v>0</v>
      </c>
      <c r="E5" s="30" t="n">
        <v>0</v>
      </c>
      <c r="F5" s="30" t="n">
        <v>0</v>
      </c>
      <c r="G5" s="32" t="n">
        <v>0</v>
      </c>
      <c r="H5" s="32" t="n">
        <v>0</v>
      </c>
      <c r="I5" s="32" t="n">
        <v>0</v>
      </c>
      <c r="J5" s="32" t="n">
        <v>0</v>
      </c>
      <c r="K5" s="33" t="n">
        <v>0</v>
      </c>
      <c r="L5" s="30" t="n">
        <v>0</v>
      </c>
      <c r="M5" s="31" t="inlineStr">
        <is>
          <t>未招聘</t>
        </is>
      </c>
      <c r="N5" s="31" t="inlineStr">
        <is>
          <t>未招聘</t>
        </is>
      </c>
      <c r="O5" s="31" t="inlineStr">
        <is>
          <t>未招聘</t>
        </is>
      </c>
      <c r="P5" s="31" t="inlineStr">
        <is>
          <t>未招聘</t>
        </is>
      </c>
      <c r="Q5" s="34" t="n">
        <v>0</v>
      </c>
      <c r="R5" s="31" t="inlineStr">
        <is>
          <t>未投產</t>
        </is>
      </c>
      <c r="S5" s="33" t="n">
        <v>0</v>
      </c>
      <c r="T5" s="33" t="n">
        <v>0</v>
      </c>
      <c r="U5" s="31" t="inlineStr">
        <is>
          <t>資本支出與研發: 3,500,000</t>
        </is>
      </c>
      <c r="V5" s="35" t="n">
        <v>6500000</v>
      </c>
    </row>
    <row r="6" ht="28" customHeight="1">
      <c r="A6" s="30" t="n">
        <v>2</v>
      </c>
      <c r="B6" s="31" t="inlineStr">
        <is>
          <t>擴建產線A第1條(40萬)、招聘10名2類生產、招聘四部門齊平人力、★叫第3月A料(各400單位)、全員訓練</t>
        </is>
      </c>
      <c r="C6" s="30" t="n">
        <v>1</v>
      </c>
      <c r="D6" s="30" t="n">
        <v>0</v>
      </c>
      <c r="E6" s="30" t="n">
        <v>10</v>
      </c>
      <c r="F6" s="30" t="n">
        <v>300</v>
      </c>
      <c r="G6" s="32" t="n">
        <v>400</v>
      </c>
      <c r="H6" s="32" t="n">
        <v>400</v>
      </c>
      <c r="I6" s="32" t="n">
        <v>0</v>
      </c>
      <c r="J6" s="32" t="n">
        <v>0</v>
      </c>
      <c r="K6" s="33" t="n">
        <v>882000</v>
      </c>
      <c r="L6" s="30" t="n">
        <v>0</v>
      </c>
      <c r="M6" s="31" t="inlineStr">
        <is>
          <t>4名2類 (4,032K)</t>
        </is>
      </c>
      <c r="N6" s="31" t="inlineStr">
        <is>
          <t>2名1類+1名2類 (4,032K)</t>
        </is>
      </c>
      <c r="O6" s="31" t="inlineStr">
        <is>
          <t>2名1類 (4,200K)</t>
        </is>
      </c>
      <c r="P6" s="31" t="inlineStr">
        <is>
          <t>4名1類 (4,032K)</t>
        </is>
      </c>
      <c r="Q6" s="34" t="n">
        <v>4032</v>
      </c>
      <c r="R6" s="31" t="inlineStr">
        <is>
          <t>準備中</t>
        </is>
      </c>
      <c r="S6" s="33" t="n">
        <v>0</v>
      </c>
      <c r="T6" s="33" t="n">
        <v>769000</v>
      </c>
      <c r="U6" s="31" t="inlineStr">
        <is>
          <t>產線擴建+招聘費+訓練: 781,000</t>
        </is>
      </c>
      <c r="V6" s="35" t="n">
        <v>4950000</v>
      </c>
    </row>
    <row r="7" ht="28" customHeight="1">
      <c r="A7" s="30" t="n">
        <v>3</v>
      </c>
      <c r="B7" s="31" t="inlineStr">
        <is>
          <t>第1條產線A投產400台、★擴建產線A第2條(40萬)、★叫第4月雙線料(各800單位)、產品A正式開賣！</t>
        </is>
      </c>
      <c r="C7" s="30" t="n">
        <v>1</v>
      </c>
      <c r="D7" s="30" t="n">
        <v>0</v>
      </c>
      <c r="E7" s="30" t="n">
        <v>10</v>
      </c>
      <c r="F7" s="30" t="n">
        <v>400</v>
      </c>
      <c r="G7" s="32" t="n">
        <v>800</v>
      </c>
      <c r="H7" s="32" t="n">
        <v>800</v>
      </c>
      <c r="I7" s="32" t="n">
        <v>0</v>
      </c>
      <c r="J7" s="32" t="n">
        <v>0</v>
      </c>
      <c r="K7" s="33" t="n">
        <v>1764000</v>
      </c>
      <c r="L7" s="30" t="n">
        <v>400</v>
      </c>
      <c r="M7" s="31" t="inlineStr">
        <is>
          <t>4名2類 (4,032K)</t>
        </is>
      </c>
      <c r="N7" s="31" t="inlineStr">
        <is>
          <t>2名1類+1名2類 (4,032K)</t>
        </is>
      </c>
      <c r="O7" s="31" t="inlineStr">
        <is>
          <t>2名1類 (4,200K)</t>
        </is>
      </c>
      <c r="P7" s="31" t="inlineStr">
        <is>
          <t>4名1類 (4,032K)</t>
        </is>
      </c>
      <c r="Q7" s="34" t="n">
        <v>4032</v>
      </c>
      <c r="R7" s="31" t="inlineStr">
        <is>
          <t>新興40% / 已開發60%</t>
        </is>
      </c>
      <c r="S7" s="33" t="n">
        <v>3380000</v>
      </c>
      <c r="T7" s="33" t="n">
        <v>769000</v>
      </c>
      <c r="U7" s="31" t="inlineStr">
        <is>
          <t>產線2擴建: 400,000 (首批手機現金流入 169萬)</t>
        </is>
      </c>
      <c r="V7" s="35" t="n">
        <v>5450000</v>
      </c>
    </row>
    <row r="8" ht="28" customHeight="1">
      <c r="A8" s="30" t="n">
        <v>4</v>
      </c>
      <c r="B8" s="31" t="inlineStr">
        <is>
          <t>產線A雙線量產(800台)、招聘10名作業員(5名2類+5名3類)、★叫第5月料(各800單位)、通路商加發1%佣金</t>
        </is>
      </c>
      <c r="C8" s="30" t="n">
        <v>2</v>
      </c>
      <c r="D8" s="30" t="n">
        <v>0</v>
      </c>
      <c r="E8" s="30" t="n">
        <v>20</v>
      </c>
      <c r="F8" s="30" t="n">
        <v>750</v>
      </c>
      <c r="G8" s="32" t="n">
        <v>800</v>
      </c>
      <c r="H8" s="32" t="n">
        <v>800</v>
      </c>
      <c r="I8" s="32" t="n">
        <v>0</v>
      </c>
      <c r="J8" s="32" t="n">
        <v>0</v>
      </c>
      <c r="K8" s="33" t="n">
        <v>1764000</v>
      </c>
      <c r="L8" s="30" t="n">
        <v>800</v>
      </c>
      <c r="M8" s="31" t="inlineStr">
        <is>
          <t>4名2類 (4,032K)</t>
        </is>
      </c>
      <c r="N8" s="31" t="inlineStr">
        <is>
          <t>2名1類+1名2類 (4,032K)</t>
        </is>
      </c>
      <c r="O8" s="31" t="inlineStr">
        <is>
          <t>2名1類 (4,200K)</t>
        </is>
      </c>
      <c r="P8" s="31" t="inlineStr">
        <is>
          <t>4名1類 (4,032K)</t>
        </is>
      </c>
      <c r="Q8" s="34" t="n">
        <v>4032</v>
      </c>
      <c r="R8" s="31" t="inlineStr">
        <is>
          <t>新興40% / 已開發60%</t>
        </is>
      </c>
      <c r="S8" s="33" t="n">
        <v>6720000</v>
      </c>
      <c r="T8" s="33" t="n">
        <v>1206500</v>
      </c>
      <c r="U8" s="31" t="inlineStr">
        <is>
          <t>M2原料50%尾款: 441,000 (銷售現金大回流)</t>
        </is>
      </c>
      <c r="V8" s="35" t="n">
        <v>8650000</v>
      </c>
    </row>
    <row r="9" ht="28" customHeight="1">
      <c r="A9" s="30" t="n">
        <v>5</v>
      </c>
      <c r="B9" s="31" t="inlineStr">
        <is>
          <t>雙產線A穩定滿載(800台)、★叫第6月料(各800單位)、實施員工在職訓練、收回M4應收帳款</t>
        </is>
      </c>
      <c r="C9" s="30" t="n">
        <v>2</v>
      </c>
      <c r="D9" s="30" t="n">
        <v>0</v>
      </c>
      <c r="E9" s="30" t="n">
        <v>20</v>
      </c>
      <c r="F9" s="30" t="n">
        <v>800</v>
      </c>
      <c r="G9" s="32" t="n">
        <v>800</v>
      </c>
      <c r="H9" s="32" t="n">
        <v>800</v>
      </c>
      <c r="I9" s="32" t="n">
        <v>0</v>
      </c>
      <c r="J9" s="32" t="n">
        <v>0</v>
      </c>
      <c r="K9" s="33" t="n">
        <v>1764000</v>
      </c>
      <c r="L9" s="30" t="n">
        <v>800</v>
      </c>
      <c r="M9" s="31" t="inlineStr">
        <is>
          <t>4名2類 (4,032K)</t>
        </is>
      </c>
      <c r="N9" s="31" t="inlineStr">
        <is>
          <t>2名1類+1名2類 (4,032K)</t>
        </is>
      </c>
      <c r="O9" s="31" t="inlineStr">
        <is>
          <t>2名1類 (4,200K)</t>
        </is>
      </c>
      <c r="P9" s="31" t="inlineStr">
        <is>
          <t>4名1類 (4,032K)</t>
        </is>
      </c>
      <c r="Q9" s="34" t="n">
        <v>4032</v>
      </c>
      <c r="R9" s="31" t="inlineStr">
        <is>
          <t>新興40% / 已開發60%</t>
        </is>
      </c>
      <c r="S9" s="33" t="n">
        <v>6800000</v>
      </c>
      <c r="T9" s="33" t="n">
        <v>1206500</v>
      </c>
      <c r="U9" s="31" t="inlineStr">
        <is>
          <t>M3原料50%尾款: 882,000 + 訓練 30萬</t>
        </is>
      </c>
      <c r="V9" s="35" t="n">
        <v>11500000</v>
      </c>
    </row>
    <row r="10" ht="28" customHeight="1">
      <c r="A10" s="30" t="n">
        <v>6</v>
      </c>
      <c r="B10" s="31" t="inlineStr">
        <is>
          <t>★執行短期借款200萬(儲備研發資金)、雙線投產800台、★叫第7月料(各800單位)、微調四部門人力</t>
        </is>
      </c>
      <c r="C10" s="30" t="n">
        <v>2</v>
      </c>
      <c r="D10" s="30" t="n">
        <v>0</v>
      </c>
      <c r="E10" s="30" t="n">
        <v>20</v>
      </c>
      <c r="F10" s="30" t="n">
        <v>800</v>
      </c>
      <c r="G10" s="32" t="n">
        <v>800</v>
      </c>
      <c r="H10" s="32" t="n">
        <v>800</v>
      </c>
      <c r="I10" s="32" t="n">
        <v>0</v>
      </c>
      <c r="J10" s="32" t="n">
        <v>0</v>
      </c>
      <c r="K10" s="33" t="n">
        <v>1764000</v>
      </c>
      <c r="L10" s="30" t="n">
        <v>800</v>
      </c>
      <c r="M10" s="31" t="inlineStr">
        <is>
          <t>補招1名2類行銷</t>
        </is>
      </c>
      <c r="N10" s="31" t="inlineStr">
        <is>
          <t>補招1名2類管理</t>
        </is>
      </c>
      <c r="O10" s="31" t="inlineStr">
        <is>
          <t>維持2名1類</t>
        </is>
      </c>
      <c r="P10" s="31" t="inlineStr">
        <is>
          <t>補招1名2類技術</t>
        </is>
      </c>
      <c r="Q10" s="34" t="n">
        <v>5040</v>
      </c>
      <c r="R10" s="31" t="inlineStr">
        <is>
          <t>新興40% / 已開發60%</t>
        </is>
      </c>
      <c r="S10" s="33" t="n">
        <v>6950000</v>
      </c>
      <c r="T10" s="33" t="n">
        <v>1316500</v>
      </c>
      <c r="U10" s="31" t="inlineStr">
        <is>
          <t>短期借款入帳 +200萬 (預扣利息 5萬)</t>
        </is>
      </c>
      <c r="V10" s="35" t="n">
        <v>15800000</v>
      </c>
    </row>
    <row r="11" ht="28" customHeight="1">
      <c r="A11" s="30" t="n">
        <v>7</v>
      </c>
      <c r="B11" s="31" t="inlineStr">
        <is>
          <t>★啟動資訊自動化等級1(200萬)、★啟動Product-B研發(200萬, 需5個月)、雙線投產800台、★叫料800單位</t>
        </is>
      </c>
      <c r="C11" s="30" t="n">
        <v>2</v>
      </c>
      <c r="D11" s="30" t="n">
        <v>0</v>
      </c>
      <c r="E11" s="30" t="n">
        <v>20</v>
      </c>
      <c r="F11" s="30" t="n">
        <v>825</v>
      </c>
      <c r="G11" s="32" t="n">
        <v>800</v>
      </c>
      <c r="H11" s="32" t="n">
        <v>800</v>
      </c>
      <c r="I11" s="32" t="n">
        <v>0</v>
      </c>
      <c r="J11" s="32" t="n">
        <v>0</v>
      </c>
      <c r="K11" s="33" t="n">
        <v>1764000</v>
      </c>
      <c r="L11" s="30" t="n">
        <v>800</v>
      </c>
      <c r="M11" s="31" t="inlineStr">
        <is>
          <t>行銷齊平 5,500K</t>
        </is>
      </c>
      <c r="N11" s="31" t="inlineStr">
        <is>
          <t>管理齊平 5,500K</t>
        </is>
      </c>
      <c r="O11" s="31" t="inlineStr">
        <is>
          <t>財務補1人 (6,720K)</t>
        </is>
      </c>
      <c r="P11" s="31" t="inlineStr">
        <is>
          <t>技術齊平 5,500K</t>
        </is>
      </c>
      <c r="Q11" s="34" t="n">
        <v>5500</v>
      </c>
      <c r="R11" s="31" t="inlineStr">
        <is>
          <t>新興40% / 已開發60%</t>
        </is>
      </c>
      <c r="S11" s="33" t="n">
        <v>7100000</v>
      </c>
      <c r="T11" s="33" t="n">
        <v>1354000</v>
      </c>
      <c r="U11" s="31" t="inlineStr">
        <is>
          <t>自動化投資 200萬 + Product-B 研發 200萬</t>
        </is>
      </c>
      <c r="V11" s="35" t="n">
        <v>14200000</v>
      </c>
    </row>
    <row r="12" ht="28" customHeight="1">
      <c r="A12" s="30" t="n">
        <v>8</v>
      </c>
      <c r="B12" s="31" t="inlineStr">
        <is>
          <t>雙產線滿載量產(825台)、★叫第9月料(各800單位)、★擴建產線A第3條(40萬)、Product-B研發中(第2月)</t>
        </is>
      </c>
      <c r="C12" s="30" t="n">
        <v>2</v>
      </c>
      <c r="D12" s="30" t="n">
        <v>0</v>
      </c>
      <c r="E12" s="30" t="n">
        <v>20</v>
      </c>
      <c r="F12" s="30" t="n">
        <v>825</v>
      </c>
      <c r="G12" s="32" t="n">
        <v>800</v>
      </c>
      <c r="H12" s="32" t="n">
        <v>800</v>
      </c>
      <c r="I12" s="32" t="n">
        <v>0</v>
      </c>
      <c r="J12" s="32" t="n">
        <v>0</v>
      </c>
      <c r="K12" s="33" t="n">
        <v>1764000</v>
      </c>
      <c r="L12" s="30" t="n">
        <v>825</v>
      </c>
      <c r="M12" s="31" t="inlineStr">
        <is>
          <t>行銷維持</t>
        </is>
      </c>
      <c r="N12" s="31" t="inlineStr">
        <is>
          <t>管理維持</t>
        </is>
      </c>
      <c r="O12" s="31" t="inlineStr">
        <is>
          <t>財務維持</t>
        </is>
      </c>
      <c r="P12" s="31" t="inlineStr">
        <is>
          <t>技術維持</t>
        </is>
      </c>
      <c r="Q12" s="34" t="n">
        <v>5500</v>
      </c>
      <c r="R12" s="31" t="inlineStr">
        <is>
          <t>新興40% / 已開發60%</t>
        </is>
      </c>
      <c r="S12" s="33" t="n">
        <v>7200000</v>
      </c>
      <c r="T12" s="33" t="n">
        <v>1354000</v>
      </c>
      <c r="U12" s="31" t="inlineStr">
        <is>
          <t>擴建產線A第3條: 400,000</t>
        </is>
      </c>
      <c r="V12" s="35" t="n">
        <v>16500000</v>
      </c>
    </row>
    <row r="13" ht="28" customHeight="1">
      <c r="A13" s="30" t="n">
        <v>9</v>
      </c>
      <c r="B13" s="31" t="inlineStr">
        <is>
          <t>第3條產線完工、招聘10名作業員、三線衝刺量產(1,200台)、★叫第10月料(各1,200單位)、擴充銷售力</t>
        </is>
      </c>
      <c r="C13" s="30" t="n">
        <v>3</v>
      </c>
      <c r="D13" s="30" t="n">
        <v>0</v>
      </c>
      <c r="E13" s="30" t="n">
        <v>30</v>
      </c>
      <c r="F13" s="30" t="n">
        <v>1200</v>
      </c>
      <c r="G13" s="32" t="n">
        <v>1200</v>
      </c>
      <c r="H13" s="32" t="n">
        <v>1200</v>
      </c>
      <c r="I13" s="32" t="n">
        <v>0</v>
      </c>
      <c r="J13" s="32" t="n">
        <v>0</v>
      </c>
      <c r="K13" s="33" t="n">
        <v>2646000</v>
      </c>
      <c r="L13" s="30" t="n">
        <v>1200</v>
      </c>
      <c r="M13" s="31" t="inlineStr">
        <is>
          <t>行銷增聘至 7,000K</t>
        </is>
      </c>
      <c r="N13" s="31" t="inlineStr">
        <is>
          <t>管理增聘至 7,000K</t>
        </is>
      </c>
      <c r="O13" s="31" t="inlineStr">
        <is>
          <t>財務齊平 7,000K</t>
        </is>
      </c>
      <c r="P13" s="31" t="inlineStr">
        <is>
          <t>技術增聘至 7,000K</t>
        </is>
      </c>
      <c r="Q13" s="34" t="n">
        <v>7000</v>
      </c>
      <c r="R13" s="31" t="inlineStr">
        <is>
          <t>新興40% / 已開發60%</t>
        </is>
      </c>
      <c r="S13" s="33" t="n">
        <v>10500000</v>
      </c>
      <c r="T13" s="33" t="n">
        <v>1791500</v>
      </c>
      <c r="U13" s="31" t="inlineStr">
        <is>
          <t>新增10人招聘費 4.4萬 + 原料集中扣款</t>
        </is>
      </c>
      <c r="V13" s="35" t="n">
        <v>19800000</v>
      </c>
    </row>
    <row r="14" ht="28" customHeight="1">
      <c r="A14" s="30" t="n">
        <v>10</v>
      </c>
      <c r="B14" s="31" t="inlineStr">
        <is>
          <t>三線滿載(1,200台)、★叫第11月料(各1,200單位)、自動化科技等級1完工(良率提升1%)、B研發第4月</t>
        </is>
      </c>
      <c r="C14" s="30" t="n">
        <v>3</v>
      </c>
      <c r="D14" s="30" t="n">
        <v>0</v>
      </c>
      <c r="E14" s="30" t="n">
        <v>30</v>
      </c>
      <c r="F14" s="30" t="n">
        <v>1250</v>
      </c>
      <c r="G14" s="32" t="n">
        <v>1200</v>
      </c>
      <c r="H14" s="32" t="n">
        <v>1200</v>
      </c>
      <c r="I14" s="32" t="n">
        <v>0</v>
      </c>
      <c r="J14" s="32" t="n">
        <v>0</v>
      </c>
      <c r="K14" s="33" t="n">
        <v>2646000</v>
      </c>
      <c r="L14" s="30" t="n">
        <v>1200</v>
      </c>
      <c r="M14" s="31" t="inlineStr">
        <is>
          <t>四大部門 7,000K</t>
        </is>
      </c>
      <c r="N14" s="31" t="inlineStr">
        <is>
          <t>四大部門 7,000K</t>
        </is>
      </c>
      <c r="O14" s="31" t="inlineStr">
        <is>
          <t>四大部門 7,000K</t>
        </is>
      </c>
      <c r="P14" s="31" t="inlineStr">
        <is>
          <t>四大部門 7,000K</t>
        </is>
      </c>
      <c r="Q14" s="34" t="n">
        <v>7000</v>
      </c>
      <c r="R14" s="31" t="inlineStr">
        <is>
          <t>新興40% / 已開發60%</t>
        </is>
      </c>
      <c r="S14" s="33" t="n">
        <v>10600000</v>
      </c>
      <c r="T14" s="33" t="n">
        <v>1791500</v>
      </c>
      <c r="U14" s="31" t="inlineStr">
        <is>
          <t>通路商續約、正常營運扣款</t>
        </is>
      </c>
      <c r="V14" s="35" t="n">
        <v>24500000</v>
      </c>
    </row>
    <row r="15" ht="28" customHeight="1">
      <c r="A15" s="30" t="n">
        <v>11</v>
      </c>
      <c r="B15" s="31" t="inlineStr">
        <is>
          <t>★Product-B研發正式完工！三線滿載(1,200台)、★叫第12月料(各1,200單位)、準備第二年爆發</t>
        </is>
      </c>
      <c r="C15" s="30" t="n">
        <v>3</v>
      </c>
      <c r="D15" s="30" t="n">
        <v>0</v>
      </c>
      <c r="E15" s="30" t="n">
        <v>30</v>
      </c>
      <c r="F15" s="30" t="n">
        <v>1250</v>
      </c>
      <c r="G15" s="32" t="n">
        <v>1200</v>
      </c>
      <c r="H15" s="32" t="n">
        <v>1200</v>
      </c>
      <c r="I15" s="32" t="n">
        <v>0</v>
      </c>
      <c r="J15" s="32" t="n">
        <v>0</v>
      </c>
      <c r="K15" s="33" t="n">
        <v>2646000</v>
      </c>
      <c r="L15" s="30" t="n">
        <v>1200</v>
      </c>
      <c r="M15" s="31" t="inlineStr">
        <is>
          <t>四大部門 7,000K</t>
        </is>
      </c>
      <c r="N15" s="31" t="inlineStr">
        <is>
          <t>四大部門 7,000K</t>
        </is>
      </c>
      <c r="O15" s="31" t="inlineStr">
        <is>
          <t>四大部門 7,000K</t>
        </is>
      </c>
      <c r="P15" s="31" t="inlineStr">
        <is>
          <t>四大部門 7,000K</t>
        </is>
      </c>
      <c r="Q15" s="34" t="n">
        <v>7000</v>
      </c>
      <c r="R15" s="31" t="inlineStr">
        <is>
          <t>新興40% / 已開發60%</t>
        </is>
      </c>
      <c r="S15" s="33" t="n">
        <v>10800000</v>
      </c>
      <c r="T15" s="33" t="n">
        <v>1791500</v>
      </c>
      <c r="U15" s="31" t="inlineStr">
        <is>
          <t>正常營運扣款</t>
        </is>
      </c>
      <c r="V15" s="35" t="n">
        <v>29500000</v>
      </c>
    </row>
    <row r="16" ht="28" customHeight="1">
      <c r="A16" s="30" t="n">
        <v>12</v>
      </c>
      <c r="B16" s="31" t="inlineStr">
        <is>
          <t>★擴建產線B第1條(80萬)、★首批叫料Product-B(B01: 350, B02: 700)、償還短期借款200萬、叫料A(各1,200)</t>
        </is>
      </c>
      <c r="C16" s="30" t="n">
        <v>3</v>
      </c>
      <c r="D16" s="30" t="n">
        <v>1</v>
      </c>
      <c r="E16" s="30" t="n">
        <v>30</v>
      </c>
      <c r="F16" s="30" t="n">
        <v>1250</v>
      </c>
      <c r="G16" s="32" t="n">
        <v>1200</v>
      </c>
      <c r="H16" s="32" t="n">
        <v>1200</v>
      </c>
      <c r="I16" s="32" t="n">
        <v>350</v>
      </c>
      <c r="J16" s="32" t="n">
        <v>700</v>
      </c>
      <c r="K16" s="33" t="n">
        <v>3382750</v>
      </c>
      <c r="L16" s="30" t="n">
        <v>1200</v>
      </c>
      <c r="M16" s="31" t="inlineStr">
        <is>
          <t>行銷備戰第二年</t>
        </is>
      </c>
      <c r="N16" s="31" t="inlineStr">
        <is>
          <t>管理備戰第二年</t>
        </is>
      </c>
      <c r="O16" s="31" t="inlineStr">
        <is>
          <t>財務備戰第二年</t>
        </is>
      </c>
      <c r="P16" s="31" t="inlineStr">
        <is>
          <t>技術備戰第二年</t>
        </is>
      </c>
      <c r="Q16" s="34" t="n">
        <v>7000</v>
      </c>
      <c r="R16" s="31" t="inlineStr">
        <is>
          <t>新興40% / 已開發60%</t>
        </is>
      </c>
      <c r="S16" s="33" t="n">
        <v>10800000</v>
      </c>
      <c r="T16" s="33" t="n">
        <v>1791500</v>
      </c>
      <c r="U16" s="31" t="inlineStr">
        <is>
          <t>擴建Line B 80萬 + 還借款 200萬</t>
        </is>
      </c>
      <c r="V16" s="35" t="n">
        <v>31500000</v>
      </c>
    </row>
    <row r="17" ht="28" customHeight="1">
      <c r="A17" s="30" t="n">
        <v>13</v>
      </c>
      <c r="B17" s="31" t="inlineStr">
        <is>
          <t>★Product-B正式開賣投產(350台)！招10名作業員(5名2類+5名3類)、銷售力升級至12,500K、叫料A(1200)+B(350/700)</t>
        </is>
      </c>
      <c r="C17" s="30" t="n">
        <v>3</v>
      </c>
      <c r="D17" s="30" t="n">
        <v>1</v>
      </c>
      <c r="E17" s="30" t="n">
        <v>40</v>
      </c>
      <c r="F17" s="30" t="n">
        <v>1550</v>
      </c>
      <c r="G17" s="32" t="n">
        <v>1200</v>
      </c>
      <c r="H17" s="32" t="n">
        <v>1200</v>
      </c>
      <c r="I17" s="32" t="n">
        <v>350</v>
      </c>
      <c r="J17" s="32" t="n">
        <v>700</v>
      </c>
      <c r="K17" s="33" t="n">
        <v>3382750</v>
      </c>
      <c r="L17" s="30" t="n">
        <v>1550</v>
      </c>
      <c r="M17" s="31" t="inlineStr">
        <is>
          <t>擴招至 12,500K</t>
        </is>
      </c>
      <c r="N17" s="31" t="inlineStr">
        <is>
          <t>擴招至 12,500K</t>
        </is>
      </c>
      <c r="O17" s="31" t="inlineStr">
        <is>
          <t>擴招至 12,500K</t>
        </is>
      </c>
      <c r="P17" s="31" t="inlineStr">
        <is>
          <t>擴招至 12,500K</t>
        </is>
      </c>
      <c r="Q17" s="34" t="n">
        <v>12500</v>
      </c>
      <c r="R17" s="31" t="inlineStr">
        <is>
          <t>A+B雙產品雙市場供貨</t>
        </is>
      </c>
      <c r="S17" s="33" t="n">
        <v>12850000</v>
      </c>
      <c r="T17" s="33" t="n">
        <v>2410500</v>
      </c>
      <c r="U17" s="31" t="inlineStr">
        <is>
          <t>可執行長期借款/發股利，Line B作業員招聘費</t>
        </is>
      </c>
      <c r="V17" s="35" t="n">
        <v>36800000</v>
      </c>
    </row>
    <row r="18" ht="28" customHeight="1">
      <c r="A18" s="30" t="n">
        <v>14</v>
      </c>
      <c r="B18" s="31" t="inlineStr">
        <is>
          <t>雙產品穩定滿載(1,550台)、★叫第15月料A(1200)+B(350/700)、評估擴建第2條Line B、收回M13款項</t>
        </is>
      </c>
      <c r="C18" s="30" t="n">
        <v>3</v>
      </c>
      <c r="D18" s="30" t="n">
        <v>1</v>
      </c>
      <c r="E18" s="30" t="n">
        <v>40</v>
      </c>
      <c r="F18" s="30" t="n">
        <v>1600</v>
      </c>
      <c r="G18" s="32" t="n">
        <v>1200</v>
      </c>
      <c r="H18" s="32" t="n">
        <v>1200</v>
      </c>
      <c r="I18" s="32" t="n">
        <v>350</v>
      </c>
      <c r="J18" s="32" t="n">
        <v>700</v>
      </c>
      <c r="K18" s="33" t="n">
        <v>3382750</v>
      </c>
      <c r="L18" s="30" t="n">
        <v>1550</v>
      </c>
      <c r="M18" s="31" t="inlineStr">
        <is>
          <t>四大部門維持</t>
        </is>
      </c>
      <c r="N18" s="31" t="inlineStr">
        <is>
          <t>四大部門維持</t>
        </is>
      </c>
      <c r="O18" s="31" t="inlineStr">
        <is>
          <t>四大部門維持</t>
        </is>
      </c>
      <c r="P18" s="31" t="inlineStr">
        <is>
          <t>四大部門維持</t>
        </is>
      </c>
      <c r="Q18" s="34" t="n">
        <v>12500</v>
      </c>
      <c r="R18" s="31" t="inlineStr">
        <is>
          <t>A+B雙產品雙市場供貨</t>
        </is>
      </c>
      <c r="S18" s="33" t="n">
        <v>13100000</v>
      </c>
      <c r="T18" s="33" t="n">
        <v>2410500</v>
      </c>
      <c r="U18" s="31" t="inlineStr">
        <is>
          <t>供應商M12尾款扣款</t>
        </is>
      </c>
      <c r="V18" s="35" t="n">
        <v>42500000</v>
      </c>
    </row>
    <row r="19" ht="28" customHeight="1">
      <c r="A19" s="30" t="n">
        <v>15</v>
      </c>
      <c r="B19" s="31" t="inlineStr">
        <is>
          <t>★擴建產線B第2條(80萬)、投產1,550台、★叫第16月料(A:1200, B01:700, B02:1400)、第二年銷量爆發</t>
        </is>
      </c>
      <c r="C19" s="30" t="n">
        <v>3</v>
      </c>
      <c r="D19" s="30" t="n">
        <v>2</v>
      </c>
      <c r="E19" s="30" t="n">
        <v>40</v>
      </c>
      <c r="F19" s="30" t="n">
        <v>1600</v>
      </c>
      <c r="G19" s="32" t="n">
        <v>1200</v>
      </c>
      <c r="H19" s="32" t="n">
        <v>1200</v>
      </c>
      <c r="I19" s="32" t="n">
        <v>700</v>
      </c>
      <c r="J19" s="32" t="n">
        <v>1400</v>
      </c>
      <c r="K19" s="33" t="n">
        <v>4119500</v>
      </c>
      <c r="L19" s="30" t="n">
        <v>1550</v>
      </c>
      <c r="M19" s="31" t="inlineStr">
        <is>
          <t>四大部門維持</t>
        </is>
      </c>
      <c r="N19" s="31" t="inlineStr">
        <is>
          <t>四大部門維持</t>
        </is>
      </c>
      <c r="O19" s="31" t="inlineStr">
        <is>
          <t>四大部門維持</t>
        </is>
      </c>
      <c r="P19" s="31" t="inlineStr">
        <is>
          <t>四大部門維持</t>
        </is>
      </c>
      <c r="Q19" s="34" t="n">
        <v>12500</v>
      </c>
      <c r="R19" s="31" t="inlineStr">
        <is>
          <t>A+B雙產品雙市場供貨</t>
        </is>
      </c>
      <c r="S19" s="33" t="n">
        <v>13200000</v>
      </c>
      <c r="T19" s="33" t="n">
        <v>2410500</v>
      </c>
      <c r="U19" s="31" t="inlineStr">
        <is>
          <t>擴建產線B第2條: 800,000</t>
        </is>
      </c>
      <c r="V19" s="35" t="n">
        <v>48200000</v>
      </c>
    </row>
    <row r="20" ht="28" customHeight="1">
      <c r="A20" s="30" t="n">
        <v>16</v>
      </c>
      <c r="B20" s="31" t="inlineStr">
        <is>
          <t>第2條Line B完工投產！招10名作業員、全公司5條產線(1,900台)、★叫第17月料(A:1200, B:700/1400)</t>
        </is>
      </c>
      <c r="C20" s="30" t="n">
        <v>3</v>
      </c>
      <c r="D20" s="30" t="n">
        <v>2</v>
      </c>
      <c r="E20" s="30" t="n">
        <v>50</v>
      </c>
      <c r="F20" s="30" t="n">
        <v>1900</v>
      </c>
      <c r="G20" s="32" t="n">
        <v>1200</v>
      </c>
      <c r="H20" s="32" t="n">
        <v>1200</v>
      </c>
      <c r="I20" s="32" t="n">
        <v>700</v>
      </c>
      <c r="J20" s="32" t="n">
        <v>1400</v>
      </c>
      <c r="K20" s="33" t="n">
        <v>4119500</v>
      </c>
      <c r="L20" s="30" t="n">
        <v>1900</v>
      </c>
      <c r="M20" s="31" t="inlineStr">
        <is>
          <t>升級至 15,000K</t>
        </is>
      </c>
      <c r="N20" s="31" t="inlineStr">
        <is>
          <t>升級至 15,000K</t>
        </is>
      </c>
      <c r="O20" s="31" t="inlineStr">
        <is>
          <t>升級至 15,000K</t>
        </is>
      </c>
      <c r="P20" s="31" t="inlineStr">
        <is>
          <t>升級至 15,000K</t>
        </is>
      </c>
      <c r="Q20" s="34" t="n">
        <v>15000</v>
      </c>
      <c r="R20" s="31" t="inlineStr">
        <is>
          <t>A+B雙產品雙市場供貨</t>
        </is>
      </c>
      <c r="S20" s="33" t="n">
        <v>15200000</v>
      </c>
      <c r="T20" s="33" t="n">
        <v>2905000</v>
      </c>
      <c r="U20" s="31" t="inlineStr">
        <is>
          <t>新增10名作業員招聘費 4.4萬</t>
        </is>
      </c>
      <c r="V20" s="35" t="n">
        <v>54000000</v>
      </c>
    </row>
    <row r="21" ht="28" customHeight="1">
      <c r="A21" s="30" t="n">
        <v>17</v>
      </c>
      <c r="B21" s="31" t="inlineStr">
        <is>
          <t>5條產線滿載衝刺(1,900台)、★叫第18月料(A:1200, B:700/1400)、啟動自動化等級2(300萬, +3%良率)</t>
        </is>
      </c>
      <c r="C21" s="30" t="n">
        <v>3</v>
      </c>
      <c r="D21" s="30" t="n">
        <v>2</v>
      </c>
      <c r="E21" s="30" t="n">
        <v>50</v>
      </c>
      <c r="F21" s="30" t="n">
        <v>1950</v>
      </c>
      <c r="G21" s="32" t="n">
        <v>1200</v>
      </c>
      <c r="H21" s="32" t="n">
        <v>1200</v>
      </c>
      <c r="I21" s="32" t="n">
        <v>700</v>
      </c>
      <c r="J21" s="32" t="n">
        <v>1400</v>
      </c>
      <c r="K21" s="33" t="n">
        <v>4119500</v>
      </c>
      <c r="L21" s="30" t="n">
        <v>1900</v>
      </c>
      <c r="M21" s="31" t="inlineStr">
        <is>
          <t>四大部門 15,000K</t>
        </is>
      </c>
      <c r="N21" s="31" t="inlineStr">
        <is>
          <t>四大部門 15,000K</t>
        </is>
      </c>
      <c r="O21" s="31" t="inlineStr">
        <is>
          <t>四大部門 15,000K</t>
        </is>
      </c>
      <c r="P21" s="31" t="inlineStr">
        <is>
          <t>四大部門 15,000K</t>
        </is>
      </c>
      <c r="Q21" s="34" t="n">
        <v>15000</v>
      </c>
      <c r="R21" s="31" t="inlineStr">
        <is>
          <t>A+B雙產品雙市場供貨</t>
        </is>
      </c>
      <c r="S21" s="33" t="n">
        <v>15400000</v>
      </c>
      <c r="T21" s="33" t="n">
        <v>2905000</v>
      </c>
      <c r="U21" s="31" t="inlineStr">
        <is>
          <t>自動化等級2投資: 3,000,000</t>
        </is>
      </c>
      <c r="V21" s="35" t="n">
        <v>60500000</v>
      </c>
    </row>
    <row r="22" ht="28" customHeight="1">
      <c r="A22" s="30" t="n">
        <v>18</v>
      </c>
      <c r="B22" s="31" t="inlineStr">
        <is>
          <t>5線穩定高產量(1,900台)、★叫第19月料(A:1200, B:700/1400)、全員在職訓練提升能力、收回款項</t>
        </is>
      </c>
      <c r="C22" s="30" t="n">
        <v>3</v>
      </c>
      <c r="D22" s="30" t="n">
        <v>2</v>
      </c>
      <c r="E22" s="30" t="n">
        <v>50</v>
      </c>
      <c r="F22" s="30" t="n">
        <v>1950</v>
      </c>
      <c r="G22" s="32" t="n">
        <v>1200</v>
      </c>
      <c r="H22" s="32" t="n">
        <v>1200</v>
      </c>
      <c r="I22" s="32" t="n">
        <v>700</v>
      </c>
      <c r="J22" s="32" t="n">
        <v>1400</v>
      </c>
      <c r="K22" s="33" t="n">
        <v>4119500</v>
      </c>
      <c r="L22" s="30" t="n">
        <v>1900</v>
      </c>
      <c r="M22" s="31" t="inlineStr">
        <is>
          <t>四大部門 15,000K</t>
        </is>
      </c>
      <c r="N22" s="31" t="inlineStr">
        <is>
          <t>四大部門 15,000K</t>
        </is>
      </c>
      <c r="O22" s="31" t="inlineStr">
        <is>
          <t>四大部門 15,000K</t>
        </is>
      </c>
      <c r="P22" s="31" t="inlineStr">
        <is>
          <t>四大部門 15,000K</t>
        </is>
      </c>
      <c r="Q22" s="34" t="n">
        <v>15000</v>
      </c>
      <c r="R22" s="31" t="inlineStr">
        <is>
          <t>A+B雙產品雙市場供貨</t>
        </is>
      </c>
      <c r="S22" s="33" t="n">
        <v>15500000</v>
      </c>
      <c r="T22" s="33" t="n">
        <v>2905000</v>
      </c>
      <c r="U22" s="31" t="inlineStr">
        <is>
          <t>全員在職訓練 40萬</t>
        </is>
      </c>
      <c r="V22" s="35" t="n">
        <v>68000000</v>
      </c>
    </row>
    <row r="23" ht="28" customHeight="1">
      <c r="A23" s="30" t="n">
        <v>19</v>
      </c>
      <c r="B23" s="31" t="inlineStr">
        <is>
          <t>5線滿載量產(1,900台)、★叫第20月料(A:1200, B:700/1400)、Product-B需求高峰來臨</t>
        </is>
      </c>
      <c r="C23" s="30" t="n">
        <v>3</v>
      </c>
      <c r="D23" s="30" t="n">
        <v>2</v>
      </c>
      <c r="E23" s="30" t="n">
        <v>50</v>
      </c>
      <c r="F23" s="30" t="n">
        <v>1950</v>
      </c>
      <c r="G23" s="32" t="n">
        <v>1200</v>
      </c>
      <c r="H23" s="32" t="n">
        <v>1200</v>
      </c>
      <c r="I23" s="32" t="n">
        <v>700</v>
      </c>
      <c r="J23" s="32" t="n">
        <v>1400</v>
      </c>
      <c r="K23" s="33" t="n">
        <v>4119500</v>
      </c>
      <c r="L23" s="30" t="n">
        <v>1900</v>
      </c>
      <c r="M23" s="31" t="inlineStr">
        <is>
          <t>四大部門 15,000K</t>
        </is>
      </c>
      <c r="N23" s="31" t="inlineStr">
        <is>
          <t>四大部門 15,000K</t>
        </is>
      </c>
      <c r="O23" s="31" t="inlineStr">
        <is>
          <t>四大部門 15,000K</t>
        </is>
      </c>
      <c r="P23" s="31" t="inlineStr">
        <is>
          <t>四大部門 15,000K</t>
        </is>
      </c>
      <c r="Q23" s="34" t="n">
        <v>15000</v>
      </c>
      <c r="R23" s="31" t="inlineStr">
        <is>
          <t>A+B雙產品雙市場供貨</t>
        </is>
      </c>
      <c r="S23" s="33" t="n">
        <v>15600000</v>
      </c>
      <c r="T23" s="33" t="n">
        <v>2905000</v>
      </c>
      <c r="U23" s="31" t="inlineStr">
        <is>
          <t>正常營運扣款</t>
        </is>
      </c>
      <c r="V23" s="35" t="n">
        <v>76000000</v>
      </c>
    </row>
    <row r="24" ht="28" customHeight="1">
      <c r="A24" s="30" t="n">
        <v>20</v>
      </c>
      <c r="B24" s="31" t="inlineStr">
        <is>
          <t>自動化等級2完工！5線良率大增、投產1,900台、★叫第21月料(A:1200, B:700/1400)、營業利益衝刺</t>
        </is>
      </c>
      <c r="C24" s="30" t="n">
        <v>3</v>
      </c>
      <c r="D24" s="30" t="n">
        <v>2</v>
      </c>
      <c r="E24" s="30" t="n">
        <v>50</v>
      </c>
      <c r="F24" s="30" t="n">
        <v>1950</v>
      </c>
      <c r="G24" s="32" t="n">
        <v>1200</v>
      </c>
      <c r="H24" s="32" t="n">
        <v>1200</v>
      </c>
      <c r="I24" s="32" t="n">
        <v>700</v>
      </c>
      <c r="J24" s="32" t="n">
        <v>1400</v>
      </c>
      <c r="K24" s="33" t="n">
        <v>4119500</v>
      </c>
      <c r="L24" s="30" t="n">
        <v>1900</v>
      </c>
      <c r="M24" s="31" t="inlineStr">
        <is>
          <t>四大部門 15,000K</t>
        </is>
      </c>
      <c r="N24" s="31" t="inlineStr">
        <is>
          <t>四大部門 15,000K</t>
        </is>
      </c>
      <c r="O24" s="31" t="inlineStr">
        <is>
          <t>四大部門 15,000K</t>
        </is>
      </c>
      <c r="P24" s="31" t="inlineStr">
        <is>
          <t>四大部門 15,000K</t>
        </is>
      </c>
      <c r="Q24" s="34" t="n">
        <v>15000</v>
      </c>
      <c r="R24" s="31" t="inlineStr">
        <is>
          <t>A+B雙產品雙市場供貨</t>
        </is>
      </c>
      <c r="S24" s="33" t="n">
        <v>15800000</v>
      </c>
      <c r="T24" s="33" t="n">
        <v>2905000</v>
      </c>
      <c r="U24" s="31" t="inlineStr">
        <is>
          <t>正常營運扣款</t>
        </is>
      </c>
      <c r="V24" s="35" t="n">
        <v>84500000</v>
      </c>
    </row>
    <row r="25" ht="28" customHeight="1">
      <c r="A25" s="30" t="n">
        <v>21</v>
      </c>
      <c r="B25" s="31" t="inlineStr">
        <is>
          <t>5線滿載量產(1,900台)、★叫第22月料(A:1200, B:700/1400)、維持通路商與供應商最佳合作條款</t>
        </is>
      </c>
      <c r="C25" s="30" t="n">
        <v>3</v>
      </c>
      <c r="D25" s="30" t="n">
        <v>2</v>
      </c>
      <c r="E25" s="30" t="n">
        <v>50</v>
      </c>
      <c r="F25" s="30" t="n">
        <v>1950</v>
      </c>
      <c r="G25" s="32" t="n">
        <v>1200</v>
      </c>
      <c r="H25" s="32" t="n">
        <v>1200</v>
      </c>
      <c r="I25" s="32" t="n">
        <v>700</v>
      </c>
      <c r="J25" s="32" t="n">
        <v>1400</v>
      </c>
      <c r="K25" s="33" t="n">
        <v>4119500</v>
      </c>
      <c r="L25" s="30" t="n">
        <v>1900</v>
      </c>
      <c r="M25" s="31" t="inlineStr">
        <is>
          <t>四大部門 15,000K</t>
        </is>
      </c>
      <c r="N25" s="31" t="inlineStr">
        <is>
          <t>四大部門 15,000K</t>
        </is>
      </c>
      <c r="O25" s="31" t="inlineStr">
        <is>
          <t>四大部門 15,000K</t>
        </is>
      </c>
      <c r="P25" s="31" t="inlineStr">
        <is>
          <t>四大部門 15,000K</t>
        </is>
      </c>
      <c r="Q25" s="34" t="n">
        <v>15000</v>
      </c>
      <c r="R25" s="31" t="inlineStr">
        <is>
          <t>A+B雙產品雙市場供貨</t>
        </is>
      </c>
      <c r="S25" s="33" t="n">
        <v>15800000</v>
      </c>
      <c r="T25" s="33" t="n">
        <v>2905000</v>
      </c>
      <c r="U25" s="31" t="inlineStr">
        <is>
          <t>正常營運扣款</t>
        </is>
      </c>
      <c r="V25" s="35" t="n">
        <v>93000000</v>
      </c>
    </row>
    <row r="26" ht="28" customHeight="1">
      <c r="A26" s="30" t="n">
        <v>22</v>
      </c>
      <c r="B26" s="31" t="inlineStr">
        <is>
          <t>5線滿載量產(1,900台)、★叫第23月料(A:1200, B:700/1400)、盤點原物料庫存、避免最後過度積壓</t>
        </is>
      </c>
      <c r="C26" s="30" t="n">
        <v>3</v>
      </c>
      <c r="D26" s="30" t="n">
        <v>2</v>
      </c>
      <c r="E26" s="30" t="n">
        <v>50</v>
      </c>
      <c r="F26" s="30" t="n">
        <v>1950</v>
      </c>
      <c r="G26" s="32" t="n">
        <v>1200</v>
      </c>
      <c r="H26" s="32" t="n">
        <v>1200</v>
      </c>
      <c r="I26" s="32" t="n">
        <v>700</v>
      </c>
      <c r="J26" s="32" t="n">
        <v>1400</v>
      </c>
      <c r="K26" s="33" t="n">
        <v>4119500</v>
      </c>
      <c r="L26" s="30" t="n">
        <v>1900</v>
      </c>
      <c r="M26" s="31" t="inlineStr">
        <is>
          <t>四大部門 15,000K</t>
        </is>
      </c>
      <c r="N26" s="31" t="inlineStr">
        <is>
          <t>四大部門 15,000K</t>
        </is>
      </c>
      <c r="O26" s="31" t="inlineStr">
        <is>
          <t>四大部門 15,000K</t>
        </is>
      </c>
      <c r="P26" s="31" t="inlineStr">
        <is>
          <t>四大部門 15,000K</t>
        </is>
      </c>
      <c r="Q26" s="34" t="n">
        <v>15000</v>
      </c>
      <c r="R26" s="31" t="inlineStr">
        <is>
          <t>A+B雙產品雙市場供貨</t>
        </is>
      </c>
      <c r="S26" s="33" t="n">
        <v>15800000</v>
      </c>
      <c r="T26" s="33" t="n">
        <v>2905000</v>
      </c>
      <c r="U26" s="31" t="inlineStr">
        <is>
          <t>正常營運扣款</t>
        </is>
      </c>
      <c r="V26" s="35" t="n">
        <v>101500000</v>
      </c>
    </row>
    <row r="27" ht="28" customHeight="1">
      <c r="A27" s="30" t="n">
        <v>23</v>
      </c>
      <c r="B27" s="31" t="inlineStr">
        <is>
          <t>5線滿載投產(1,900台)、★叫第24月料(精準叫足當月生產量即可，不預叫M25)、庫存清零準備</t>
        </is>
      </c>
      <c r="C27" s="30" t="n">
        <v>3</v>
      </c>
      <c r="D27" s="30" t="n">
        <v>2</v>
      </c>
      <c r="E27" s="30" t="n">
        <v>50</v>
      </c>
      <c r="F27" s="30" t="n">
        <v>1950</v>
      </c>
      <c r="G27" s="32" t="n">
        <v>1200</v>
      </c>
      <c r="H27" s="32" t="n">
        <v>1200</v>
      </c>
      <c r="I27" s="32" t="n">
        <v>700</v>
      </c>
      <c r="J27" s="32" t="n">
        <v>1400</v>
      </c>
      <c r="K27" s="33" t="n">
        <v>4119500</v>
      </c>
      <c r="L27" s="30" t="n">
        <v>1900</v>
      </c>
      <c r="M27" s="31" t="inlineStr">
        <is>
          <t>四大部門 15,000K</t>
        </is>
      </c>
      <c r="N27" s="31" t="inlineStr">
        <is>
          <t>四大部門 15,000K</t>
        </is>
      </c>
      <c r="O27" s="31" t="inlineStr">
        <is>
          <t>四大部門 15,000K</t>
        </is>
      </c>
      <c r="P27" s="31" t="inlineStr">
        <is>
          <t>四大部門 15,000K</t>
        </is>
      </c>
      <c r="Q27" s="34" t="n">
        <v>15000</v>
      </c>
      <c r="R27" s="31" t="inlineStr">
        <is>
          <t>A+B雙產品雙市場供貨</t>
        </is>
      </c>
      <c r="S27" s="33" t="n">
        <v>15800000</v>
      </c>
      <c r="T27" s="33" t="n">
        <v>2905000</v>
      </c>
      <c r="U27" s="31" t="inlineStr">
        <is>
          <t>最後叫料尾款準備</t>
        </is>
      </c>
      <c r="V27" s="35" t="n">
        <v>110000000</v>
      </c>
    </row>
    <row r="28" ht="28" customHeight="1">
      <c r="A28" s="30" t="n">
        <v>24</v>
      </c>
      <c r="B28" s="31" t="inlineStr">
        <is>
          <t>★競賽最後一個月！全線投產1,900台完工出貨、不叫M25原料、收回全部應收帳款、利潤極大化完賽！</t>
        </is>
      </c>
      <c r="C28" s="30" t="n">
        <v>3</v>
      </c>
      <c r="D28" s="30" t="n">
        <v>2</v>
      </c>
      <c r="E28" s="30" t="n">
        <v>50</v>
      </c>
      <c r="F28" s="30" t="n">
        <v>1950</v>
      </c>
      <c r="G28" s="32" t="n">
        <v>0</v>
      </c>
      <c r="H28" s="32" t="n">
        <v>0</v>
      </c>
      <c r="I28" s="32" t="n">
        <v>0</v>
      </c>
      <c r="J28" s="32" t="n">
        <v>0</v>
      </c>
      <c r="K28" s="33" t="n">
        <v>0</v>
      </c>
      <c r="L28" s="30" t="n">
        <v>1900</v>
      </c>
      <c r="M28" s="31" t="inlineStr">
        <is>
          <t>四大部門 15,000K</t>
        </is>
      </c>
      <c r="N28" s="31" t="inlineStr">
        <is>
          <t>四大部門 15,000K</t>
        </is>
      </c>
      <c r="O28" s="31" t="inlineStr">
        <is>
          <t>四大部門 15,000K</t>
        </is>
      </c>
      <c r="P28" s="31" t="inlineStr">
        <is>
          <t>四大部門 15,000K</t>
        </is>
      </c>
      <c r="Q28" s="34" t="n">
        <v>15000</v>
      </c>
      <c r="R28" s="31" t="inlineStr">
        <is>
          <t>全數出清交付</t>
        </is>
      </c>
      <c r="S28" s="33" t="n">
        <v>15800000</v>
      </c>
      <c r="T28" s="33" t="n">
        <v>2905000</v>
      </c>
      <c r="U28" s="31" t="inlineStr">
        <is>
          <t>完賽庫存清零，現金與股東權益極大化</t>
        </is>
      </c>
      <c r="V28" s="35" t="n">
        <v>118500000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2" customWidth="1" min="3" max="3"/>
    <col width="25" customWidth="1" min="4" max="4"/>
    <col width="65" customWidth="1" min="5" max="5"/>
  </cols>
  <sheetData>
    <row r="1">
      <c r="A1" s="1" t="inlineStr">
        <is>
          <t>8十決策系統 - 全域產品公式、薪資單價與規則限制速查總表</t>
        </is>
      </c>
    </row>
    <row r="3">
      <c r="A3" s="11" t="inlineStr">
        <is>
          <t>分類</t>
        </is>
      </c>
      <c r="B3" s="11" t="inlineStr">
        <is>
          <t>項目名稱</t>
        </is>
      </c>
      <c r="C3" s="11" t="inlineStr">
        <is>
          <t>基準數值 / 單價</t>
        </is>
      </c>
      <c r="D3" s="11" t="inlineStr">
        <is>
          <t>單位</t>
        </is>
      </c>
      <c r="E3" s="11" t="inlineStr">
        <is>
          <t>官方規則公式 / 說明</t>
        </is>
      </c>
    </row>
    <row r="4">
      <c r="A4" s="36" t="inlineStr">
        <is>
          <t>產品開發規則</t>
        </is>
      </c>
      <c r="B4" s="36" t="inlineStr">
        <is>
          <t>Product-A 研發費用與時程</t>
        </is>
      </c>
      <c r="C4" s="37" t="inlineStr">
        <is>
          <t>1,000,000 元 (加速 50 萬)</t>
        </is>
      </c>
      <c r="D4" s="36" t="inlineStr">
        <is>
          <t>時程 3 個月 (加速至2月)</t>
        </is>
      </c>
      <c r="E4" s="36" t="inlineStr">
        <is>
          <t>亮眼產出：低技術含量，加速需第1個月立即投入</t>
        </is>
      </c>
    </row>
    <row r="5">
      <c r="A5" s="36" t="inlineStr">
        <is>
          <t>產品開發規則</t>
        </is>
      </c>
      <c r="B5" s="36" t="inlineStr">
        <is>
          <t>Product-B 研發費用與時程</t>
        </is>
      </c>
      <c r="C5" s="37" t="inlineStr">
        <is>
          <t>2,000,000 元</t>
        </is>
      </c>
      <c r="D5" s="36" t="inlineStr">
        <is>
          <t>時程 5 個月</t>
        </is>
      </c>
      <c r="E5" s="36" t="inlineStr">
        <is>
          <t>亮眼產出：中技術含量，建議第7個月啟動，第11月完工</t>
        </is>
      </c>
    </row>
    <row r="6">
      <c r="A6" s="36" t="inlineStr">
        <is>
          <t>產品開發規則</t>
        </is>
      </c>
      <c r="B6" s="36" t="inlineStr">
        <is>
          <t>Product-C 研發費用與時程</t>
        </is>
      </c>
      <c r="C6" s="37" t="inlineStr">
        <is>
          <t>3,000,000 元</t>
        </is>
      </c>
      <c r="D6" s="36" t="inlineStr">
        <is>
          <t>時程 7 個月</t>
        </is>
      </c>
      <c r="E6" s="36" t="inlineStr">
        <is>
          <t>亮眼產出：高技術含量</t>
        </is>
      </c>
    </row>
    <row r="7">
      <c r="A7" s="36" t="inlineStr">
        <is>
          <t>生產產能規格</t>
        </is>
      </c>
      <c r="B7" s="36" t="inlineStr">
        <is>
          <t>Product-A 單線產能上限</t>
        </is>
      </c>
      <c r="C7" s="38" t="n">
        <v>500</v>
      </c>
      <c r="D7" s="36" t="inlineStr">
        <is>
          <t>台/條/月</t>
        </is>
      </c>
      <c r="E7" s="36" t="inlineStr">
        <is>
          <t>單線滿載 10 人，滿載基本產能 500 台/月</t>
        </is>
      </c>
    </row>
    <row r="8">
      <c r="A8" s="36" t="inlineStr">
        <is>
          <t>生產產能規格</t>
        </is>
      </c>
      <c r="B8" s="36" t="inlineStr">
        <is>
          <t>Product-B 單線產能上限</t>
        </is>
      </c>
      <c r="C8" s="38" t="n">
        <v>350</v>
      </c>
      <c r="D8" s="36" t="inlineStr">
        <is>
          <t>台/條/月</t>
        </is>
      </c>
      <c r="E8" s="36" t="inlineStr">
        <is>
          <t>單線滿載 10 人，滿載基本產能 350 台/月</t>
        </is>
      </c>
    </row>
    <row r="9">
      <c r="A9" s="36" t="inlineStr">
        <is>
          <t>生產產能規格</t>
        </is>
      </c>
      <c r="B9" s="36" t="inlineStr">
        <is>
          <t>Product-C 單線產能上限</t>
        </is>
      </c>
      <c r="C9" s="38" t="n">
        <v>200</v>
      </c>
      <c r="D9" s="36" t="inlineStr">
        <is>
          <t>台/條/月</t>
        </is>
      </c>
      <c r="E9" s="36" t="inlineStr">
        <is>
          <t>單線滿載 10 人，滿載基本產能 200 台/月</t>
        </is>
      </c>
    </row>
    <row r="10">
      <c r="A10" s="36" t="inlineStr">
        <is>
          <t>原料採購規則</t>
        </is>
      </c>
      <c r="B10" s="36" t="inlineStr">
        <is>
          <t>叫料採購時效</t>
        </is>
      </c>
      <c r="C10" s="37" t="inlineStr">
        <is>
          <t>本月採購，下月到貨</t>
        </is>
      </c>
      <c r="D10" s="36" t="inlineStr">
        <is>
          <t>週期</t>
        </is>
      </c>
      <c r="E10" s="36" t="inlineStr">
        <is>
          <t>創價流程：本月採購之原料預定下個月才能到貨入庫使用</t>
        </is>
      </c>
    </row>
    <row r="11">
      <c r="A11" s="36" t="inlineStr">
        <is>
          <t>原料採購規則</t>
        </is>
      </c>
      <c r="B11" s="36" t="inlineStr">
        <is>
          <t>Product-A BOM 配方</t>
        </is>
      </c>
      <c r="C11" s="37" t="inlineStr">
        <is>
          <t>1個 A01 + 1個 A02</t>
        </is>
      </c>
      <c r="D11" s="36" t="inlineStr">
        <is>
          <t>配方</t>
        </is>
      </c>
      <c r="E11" s="36" t="inlineStr">
        <is>
          <t>生產 1 台手機需投入 2 個原料 (低品質1 + 高品質1)</t>
        </is>
      </c>
    </row>
    <row r="12">
      <c r="A12" s="36" t="inlineStr">
        <is>
          <t>原料採購規則</t>
        </is>
      </c>
      <c r="B12" s="36" t="inlineStr">
        <is>
          <t>Product-B BOM 配方</t>
        </is>
      </c>
      <c r="C12" s="37" t="inlineStr">
        <is>
          <t>1個 B01 + 2個 B02</t>
        </is>
      </c>
      <c r="D12" s="36" t="inlineStr">
        <is>
          <t>配方</t>
        </is>
      </c>
      <c r="E12" s="36" t="inlineStr">
        <is>
          <t>生產 1 台手機需投入 3 個原料 (低品質1 + 高品質2)</t>
        </is>
      </c>
    </row>
    <row r="13">
      <c r="A13" s="36" t="inlineStr">
        <is>
          <t>原料採購規則</t>
        </is>
      </c>
      <c r="B13" s="36" t="inlineStr">
        <is>
          <t>A01 低品質原料單價</t>
        </is>
      </c>
      <c r="C13" s="38" t="n">
        <v>1002</v>
      </c>
      <c r="D13" s="36" t="inlineStr">
        <is>
          <t>元/單位</t>
        </is>
      </c>
      <c r="E13" s="36" t="inlineStr">
        <is>
          <t>Product-A 專用原料</t>
        </is>
      </c>
    </row>
    <row r="14">
      <c r="A14" s="36" t="inlineStr">
        <is>
          <t>原料採購規則</t>
        </is>
      </c>
      <c r="B14" s="36" t="inlineStr">
        <is>
          <t>A02 高品質原料單價</t>
        </is>
      </c>
      <c r="C14" s="38" t="n">
        <v>1203</v>
      </c>
      <c r="D14" s="36" t="inlineStr">
        <is>
          <t>元/單位</t>
        </is>
      </c>
      <c r="E14" s="36" t="inlineStr">
        <is>
          <t>Product-A 專用原料</t>
        </is>
      </c>
    </row>
    <row r="15">
      <c r="A15" s="36" t="inlineStr">
        <is>
          <t>原料採購規則</t>
        </is>
      </c>
      <c r="B15" s="36" t="inlineStr">
        <is>
          <t>B01 低品質原料單價</t>
        </is>
      </c>
      <c r="C15" s="38" t="n">
        <v>601</v>
      </c>
      <c r="D15" s="36" t="inlineStr">
        <is>
          <t>元/單位</t>
        </is>
      </c>
      <c r="E15" s="36" t="inlineStr">
        <is>
          <t>Product-B 專用原料</t>
        </is>
      </c>
    </row>
    <row r="16">
      <c r="A16" s="36" t="inlineStr">
        <is>
          <t>原料採購規則</t>
        </is>
      </c>
      <c r="B16" s="36" t="inlineStr">
        <is>
          <t>B02 高品質原料單價</t>
        </is>
      </c>
      <c r="C16" s="38" t="n">
        <v>752</v>
      </c>
      <c r="D16" s="36" t="inlineStr">
        <is>
          <t>元/單位</t>
        </is>
      </c>
      <c r="E16" s="36" t="inlineStr">
        <is>
          <t>Product-B 專用原料</t>
        </is>
      </c>
    </row>
    <row r="17">
      <c r="A17" s="36" t="inlineStr">
        <is>
          <t>固定資產投資</t>
        </is>
      </c>
      <c r="B17" s="36" t="inlineStr">
        <is>
          <t>新廠房建置成本</t>
        </is>
      </c>
      <c r="C17" s="38" t="n">
        <v>1000000</v>
      </c>
      <c r="D17" s="36" t="inlineStr">
        <is>
          <t>元/間</t>
        </is>
      </c>
      <c r="E17" s="36" t="inlineStr">
        <is>
          <t>建置期 1 個月，月維護費 20,000 元/月，容納10條產線</t>
        </is>
      </c>
    </row>
    <row r="18">
      <c r="A18" s="36" t="inlineStr">
        <is>
          <t>固定資產投資</t>
        </is>
      </c>
      <c r="B18" s="36" t="inlineStr">
        <is>
          <t>新建庫房成本</t>
        </is>
      </c>
      <c r="C18" s="38" t="n">
        <v>1000000</v>
      </c>
      <c r="D18" s="36" t="inlineStr">
        <is>
          <t>元/間</t>
        </is>
      </c>
      <c r="E18" s="36" t="inlineStr">
        <is>
          <t>建置期 1 個月，月維護費 20,000 元/月，容量5,000單位</t>
        </is>
      </c>
    </row>
    <row r="19">
      <c r="A19" s="36" t="inlineStr">
        <is>
          <t>固定資產投資</t>
        </is>
      </c>
      <c r="B19" s="36" t="inlineStr">
        <is>
          <t>Product-A 產線擴建</t>
        </is>
      </c>
      <c r="C19" s="38" t="n">
        <v>400000</v>
      </c>
      <c r="D19" s="36" t="inlineStr">
        <is>
          <t>元/條</t>
        </is>
      </c>
      <c r="E19" s="36" t="inlineStr">
        <is>
          <t>建置期 1 個月，月維護費 40,000 元/條/月</t>
        </is>
      </c>
    </row>
    <row r="20">
      <c r="A20" s="36" t="inlineStr">
        <is>
          <t>固定資產投資</t>
        </is>
      </c>
      <c r="B20" s="36" t="inlineStr">
        <is>
          <t>Product-B 產線擴建</t>
        </is>
      </c>
      <c r="C20" s="38" t="n">
        <v>800000</v>
      </c>
      <c r="D20" s="36" t="inlineStr">
        <is>
          <t>元/條</t>
        </is>
      </c>
      <c r="E20" s="36" t="inlineStr">
        <is>
          <t>建置期 1 個月，月維護費 50,000 元/條/月</t>
        </is>
      </c>
    </row>
    <row r="21">
      <c r="A21" s="36" t="inlineStr">
        <is>
          <t>固定資產投資</t>
        </is>
      </c>
      <c r="B21" s="36" t="inlineStr">
        <is>
          <t>Product-C 產線擴建</t>
        </is>
      </c>
      <c r="C21" s="38" t="n">
        <v>1200000</v>
      </c>
      <c r="D21" s="36" t="inlineStr">
        <is>
          <t>元/條</t>
        </is>
      </c>
      <c r="E21" s="36" t="inlineStr">
        <is>
          <t>建置期 1 個月，月維護費 60,000 元/條/月</t>
        </is>
      </c>
    </row>
    <row r="22">
      <c r="A22" s="36" t="inlineStr">
        <is>
          <t>市場定價區間</t>
        </is>
      </c>
      <c r="B22" s="36" t="inlineStr">
        <is>
          <t>Product-A 新興市場定價區間</t>
        </is>
      </c>
      <c r="C22" s="37" t="inlineStr">
        <is>
          <t>175.000 ~ 297.500 USD</t>
        </is>
      </c>
      <c r="D22" s="36" t="inlineStr">
        <is>
          <t>美元/台</t>
        </is>
      </c>
      <c r="E22" s="36" t="inlineStr">
        <is>
          <t>建議定價 250 ~ 275 USD</t>
        </is>
      </c>
    </row>
    <row r="23">
      <c r="A23" s="36" t="inlineStr">
        <is>
          <t>市場定價區間</t>
        </is>
      </c>
      <c r="B23" s="36" t="inlineStr">
        <is>
          <t>Product-A 已開發市場定價區間</t>
        </is>
      </c>
      <c r="C23" s="37" t="inlineStr">
        <is>
          <t>211.750 ~ 359.975 USD</t>
        </is>
      </c>
      <c r="D23" s="36" t="inlineStr">
        <is>
          <t>美元/台</t>
        </is>
      </c>
      <c r="E23" s="36" t="inlineStr">
        <is>
          <t>建議定價 295 ~ 315 USD</t>
        </is>
      </c>
    </row>
    <row r="24">
      <c r="A24" s="36" t="inlineStr">
        <is>
          <t>市場定價區間</t>
        </is>
      </c>
      <c r="B24" s="36" t="inlineStr">
        <is>
          <t>Product-B 新興市場定價區間</t>
        </is>
      </c>
      <c r="C24" s="37" t="inlineStr">
        <is>
          <t>140.000 ~ 238.000 USD</t>
        </is>
      </c>
      <c r="D24" s="36" t="inlineStr">
        <is>
          <t>美元/台</t>
        </is>
      </c>
      <c r="E24" s="36" t="inlineStr">
        <is>
          <t>建議定價 190 ~ 210 USD</t>
        </is>
      </c>
    </row>
    <row r="25">
      <c r="A25" s="36" t="inlineStr">
        <is>
          <t>市場定價區間</t>
        </is>
      </c>
      <c r="B25" s="36" t="inlineStr">
        <is>
          <t>Product-B 已開發市場定價區間</t>
        </is>
      </c>
      <c r="C25" s="37" t="inlineStr">
        <is>
          <t>169.400 ~ 287.980 USD</t>
        </is>
      </c>
      <c r="D25" s="36" t="inlineStr">
        <is>
          <t>美元/台</t>
        </is>
      </c>
      <c r="E25" s="36" t="inlineStr">
        <is>
          <t>建議定價 230 ~ 250 USD</t>
        </is>
      </c>
    </row>
    <row r="26">
      <c r="A26" s="36" t="inlineStr">
        <is>
          <t>部門薪資與銷售力</t>
        </is>
      </c>
      <c r="B26" s="36" t="inlineStr">
        <is>
          <t>行銷部門 第 1 類</t>
        </is>
      </c>
      <c r="C26" s="37" t="inlineStr">
        <is>
          <t>底薪 28,000 / 銷售力 840K</t>
        </is>
      </c>
      <c r="D26" s="36" t="inlineStr">
        <is>
          <t>人/月</t>
        </is>
      </c>
      <c r="E26" s="36" t="inlineStr">
        <is>
          <t>效益比: 30.00 K/千元薪資</t>
        </is>
      </c>
    </row>
    <row r="27">
      <c r="A27" s="36" t="inlineStr">
        <is>
          <t>部門薪資與銷售力</t>
        </is>
      </c>
      <c r="B27" s="36" t="inlineStr">
        <is>
          <t>行銷部門 第 2 類</t>
        </is>
      </c>
      <c r="C27" s="37" t="inlineStr">
        <is>
          <t>底薪 35,000 / 銷售力 1,008K</t>
        </is>
      </c>
      <c r="D27" s="36" t="inlineStr">
        <is>
          <t>人/月</t>
        </is>
      </c>
      <c r="E27" s="36" t="inlineStr">
        <is>
          <t>效益比: 28.80 K/千元薪資</t>
        </is>
      </c>
    </row>
    <row r="28">
      <c r="A28" s="36" t="inlineStr">
        <is>
          <t>部門薪資與銷售力</t>
        </is>
      </c>
      <c r="B28" s="36" t="inlineStr">
        <is>
          <t>行銷部門 第 3 類</t>
        </is>
      </c>
      <c r="C28" s="37" t="inlineStr">
        <is>
          <t>底薪 52,500 / 銷售力 1,176K</t>
        </is>
      </c>
      <c r="D28" s="36" t="inlineStr">
        <is>
          <t>人/月</t>
        </is>
      </c>
      <c r="E28" s="36" t="inlineStr">
        <is>
          <t>效益比: 22.40 K/千元薪資</t>
        </is>
      </c>
    </row>
    <row r="29">
      <c r="A29" s="36" t="inlineStr">
        <is>
          <t>部門薪資與銷售力</t>
        </is>
      </c>
      <c r="B29" s="36" t="inlineStr">
        <is>
          <t>管理部門 第 1 類</t>
        </is>
      </c>
      <c r="C29" s="37" t="inlineStr">
        <is>
          <t>底薪 28,000 / 銷售力 1,260K</t>
        </is>
      </c>
      <c r="D29" s="36" t="inlineStr">
        <is>
          <t>人/月</t>
        </is>
      </c>
      <c r="E29" s="36" t="inlineStr">
        <is>
          <t>效益比: 45.00 K/千元薪資</t>
        </is>
      </c>
    </row>
    <row r="30">
      <c r="A30" s="36" t="inlineStr">
        <is>
          <t>部門薪資與銷售力</t>
        </is>
      </c>
      <c r="B30" s="36" t="inlineStr">
        <is>
          <t>管理部門 第 2 類</t>
        </is>
      </c>
      <c r="C30" s="37" t="inlineStr">
        <is>
          <t>底薪 35,000 / 銷售力 1,512K</t>
        </is>
      </c>
      <c r="D30" s="36" t="inlineStr">
        <is>
          <t>人/月</t>
        </is>
      </c>
      <c r="E30" s="36" t="inlineStr">
        <is>
          <t>效益比: 43.20 K/千元薪資</t>
        </is>
      </c>
    </row>
    <row r="31">
      <c r="A31" s="36" t="inlineStr">
        <is>
          <t>部門薪資與銷售力</t>
        </is>
      </c>
      <c r="B31" s="36" t="inlineStr">
        <is>
          <t>財務部門 第 1 類</t>
        </is>
      </c>
      <c r="C31" s="37" t="inlineStr">
        <is>
          <t>底薪 30,000 / 銷售力 2,100K</t>
        </is>
      </c>
      <c r="D31" s="36" t="inlineStr">
        <is>
          <t>人/月</t>
        </is>
      </c>
      <c r="E31" s="36" t="inlineStr">
        <is>
          <t>效益比: 70.00 K/千元薪資 (全公司最優)</t>
        </is>
      </c>
    </row>
    <row r="32">
      <c r="A32" s="36" t="inlineStr">
        <is>
          <t>部門薪資與銷售力</t>
        </is>
      </c>
      <c r="B32" s="36" t="inlineStr">
        <is>
          <t>財務部門 第 2 類</t>
        </is>
      </c>
      <c r="C32" s="37" t="inlineStr">
        <is>
          <t>底薪 37,500 / 銷售力 2,520K</t>
        </is>
      </c>
      <c r="D32" s="36" t="inlineStr">
        <is>
          <t>人/月</t>
        </is>
      </c>
      <c r="E32" s="36" t="inlineStr">
        <is>
          <t>效益比: 67.20 K/千元薪資</t>
        </is>
      </c>
    </row>
    <row r="33">
      <c r="A33" s="36" t="inlineStr">
        <is>
          <t>部門薪資與銷售力</t>
        </is>
      </c>
      <c r="B33" s="36" t="inlineStr">
        <is>
          <t>技術部門 第 1 類</t>
        </is>
      </c>
      <c r="C33" s="37" t="inlineStr">
        <is>
          <t>底薪 32,000 / 銷售力 1,008K</t>
        </is>
      </c>
      <c r="D33" s="36" t="inlineStr">
        <is>
          <t>人/月</t>
        </is>
      </c>
      <c r="E33" s="36" t="inlineStr">
        <is>
          <t>效益比: 31.50 K/千元薪資</t>
        </is>
      </c>
    </row>
    <row r="34">
      <c r="A34" s="36" t="inlineStr">
        <is>
          <t>部門薪資與銷售力</t>
        </is>
      </c>
      <c r="B34" s="36" t="inlineStr">
        <is>
          <t>技術部門 第 2 類</t>
        </is>
      </c>
      <c r="C34" s="37" t="inlineStr">
        <is>
          <t>底薪 40,000 / 銷售力 1,210K</t>
        </is>
      </c>
      <c r="D34" s="36" t="inlineStr">
        <is>
          <t>人/月</t>
        </is>
      </c>
      <c r="E34" s="36" t="inlineStr">
        <is>
          <t>效益比: 30.25 K/千元薪資</t>
        </is>
      </c>
    </row>
    <row r="35">
      <c r="A35" s="36" t="inlineStr">
        <is>
          <t>員工教育訓練</t>
        </is>
      </c>
      <c r="B35" s="36" t="inlineStr">
        <is>
          <t>第 1 類員工訓練增量與上限</t>
        </is>
      </c>
      <c r="C35" s="37" t="inlineStr">
        <is>
          <t>每次 +0.05 / 上限 1.00</t>
        </is>
      </c>
      <c r="D35" s="36" t="inlineStr">
        <is>
          <t>能力值</t>
        </is>
      </c>
      <c r="E35" s="36" t="inlineStr">
        <is>
          <t>創價流程：初始能力 0.50，需訓練 10 次達上限，能力翻倍(+100%)</t>
        </is>
      </c>
    </row>
    <row r="36">
      <c r="A36" s="36" t="inlineStr">
        <is>
          <t>員工教育訓練</t>
        </is>
      </c>
      <c r="B36" s="36" t="inlineStr">
        <is>
          <t>第 2 類員工訓練增量與上限</t>
        </is>
      </c>
      <c r="C36" s="37" t="inlineStr">
        <is>
          <t>每次 +0.06 / 上限 1.20</t>
        </is>
      </c>
      <c r="D36" s="36" t="inlineStr">
        <is>
          <t>能力值</t>
        </is>
      </c>
      <c r="E36" s="36" t="inlineStr">
        <is>
          <t>創價流程：初始能力 0.60，需訓練 10 次達上限，能力翻倍(+100%)</t>
        </is>
      </c>
    </row>
    <row r="37">
      <c r="A37" s="36" t="inlineStr">
        <is>
          <t>員工教育訓練</t>
        </is>
      </c>
      <c r="B37" s="36" t="inlineStr">
        <is>
          <t>第 3 類員工訓練增量與上限</t>
        </is>
      </c>
      <c r="C37" s="37" t="inlineStr">
        <is>
          <t>每次 +0.07 / 上限 1.40</t>
        </is>
      </c>
      <c r="D37" s="36" t="inlineStr">
        <is>
          <t>能力值</t>
        </is>
      </c>
      <c r="E37" s="36" t="inlineStr">
        <is>
          <t>創價流程：初始能力 0.70，需訓練 10 次達上限，能力翻倍(+100%)</t>
        </is>
      </c>
    </row>
    <row r="38">
      <c r="A38" s="36" t="inlineStr">
        <is>
          <t>員工教育訓練</t>
        </is>
      </c>
      <c r="B38" s="36" t="inlineStr">
        <is>
          <t>各部門單次訓練費用</t>
        </is>
      </c>
      <c r="C38" s="37" t="inlineStr">
        <is>
          <t>生產10萬 / 行銷20萬 / 管理15萬 / 技術30萬</t>
        </is>
      </c>
      <c r="D38" s="36" t="inlineStr">
        <is>
          <t>元/次</t>
        </is>
      </c>
      <c r="E38" s="36" t="inlineStr">
        <is>
          <t>按部門收費，全體在職員工能力同時提升，人數越多ROI越高</t>
        </is>
      </c>
    </row>
    <row r="39">
      <c r="A39" s="36" t="inlineStr">
        <is>
          <t>商業信用與借貸</t>
        </is>
      </c>
      <c r="B39" s="36" t="inlineStr">
        <is>
          <t>供應商付款條件 6</t>
        </is>
      </c>
      <c r="C39" s="37" t="inlineStr">
        <is>
          <t>預付0%, 貨到1月50%, 貨到3月50%</t>
        </is>
      </c>
      <c r="D39" s="36" t="inlineStr">
        <is>
          <t>條款</t>
        </is>
      </c>
      <c r="E39" s="36" t="inlineStr">
        <is>
          <t>大額免息商業信用，每年 1,4,7,10 月可設定</t>
        </is>
      </c>
    </row>
    <row r="40">
      <c r="A40" s="36" t="inlineStr">
        <is>
          <t>商業信用與借貸</t>
        </is>
      </c>
      <c r="B40" s="36" t="inlineStr">
        <is>
          <t>通路商收款條件 2</t>
        </is>
      </c>
      <c r="C40" s="37" t="inlineStr">
        <is>
          <t>現收50%, 1個月50%, 呆帳2%</t>
        </is>
      </c>
      <c r="D40" s="36" t="inlineStr">
        <is>
          <t>條款</t>
        </is>
      </c>
      <c r="E40" s="36" t="inlineStr">
        <is>
          <t>兼顧現金快速回流與銷量，每年 1,4,7,10 月可設定</t>
        </is>
      </c>
    </row>
    <row r="41">
      <c r="A41" s="36" t="inlineStr">
        <is>
          <t>商業信用與借貸</t>
        </is>
      </c>
      <c r="B41" s="36" t="inlineStr">
        <is>
          <t>短期借款規則</t>
        </is>
      </c>
      <c r="C41" s="37" t="inlineStr">
        <is>
          <t>年利率 5%, 期限 6 個月</t>
        </is>
      </c>
      <c r="D41" s="36" t="inlineStr">
        <is>
          <t>金融</t>
        </is>
      </c>
      <c r="E41" s="36" t="inlineStr">
        <is>
          <t>營運資金管理：第 2 個月後可借，預扣利息</t>
        </is>
      </c>
    </row>
    <row r="42">
      <c r="A42" s="36" t="inlineStr">
        <is>
          <t>商業信用與借貸</t>
        </is>
      </c>
      <c r="B42" s="36" t="inlineStr">
        <is>
          <t>長期借款規則</t>
        </is>
      </c>
      <c r="C42" s="37" t="inlineStr">
        <is>
          <t>第 2 年後每年 1 月可執行</t>
        </is>
      </c>
      <c r="D42" s="36" t="inlineStr">
        <is>
          <t>金融</t>
        </is>
      </c>
      <c r="E42" s="36" t="inlineStr">
        <is>
          <t>資本結構：第 2 年年初解鎖，用於大額擴產與發放股利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2026-10-19T04:52:52Z</dcterms:created>
  <dcterms:modified xmlns:dcterms="http://purl.org/dc/terms/" xmlns:xsi="http://www.w3.org/2001/XMLSchema-instance" xsi:type="dcterms:W3CDTF">2026-10-19T04:52:52Z</dcterms:modified>
</cp:coreProperties>
</file>